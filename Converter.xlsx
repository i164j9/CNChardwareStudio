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lzMa\Desktop\"/>
    </mc:Choice>
  </mc:AlternateContent>
  <xr:revisionPtr revIDLastSave="0" documentId="13_ncr:1_{03801260-3532-494D-9761-3AA5F31D30D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Length" sheetId="1" r:id="rId1"/>
    <sheet name="Weight" sheetId="2" r:id="rId2"/>
    <sheet name="Area" sheetId="3" r:id="rId3"/>
    <sheet name="Volume" sheetId="4" r:id="rId4"/>
    <sheet name="Temperature" sheetId="6" r:id="rId5"/>
    <sheet name="Angle" sheetId="5" r:id="rId6"/>
    <sheet name="Torque" sheetId="7" r:id="rId7"/>
    <sheet name="Force" sheetId="8" r:id="rId8"/>
    <sheet name="Pressure" sheetId="9" r:id="rId9"/>
    <sheet name="Speed" sheetId="10" r:id="rId10"/>
    <sheet name="Fuel Economy" sheetId="11" r:id="rId11"/>
    <sheet name="Fuel Economy with pric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2" l="1"/>
  <c r="D30" i="12"/>
  <c r="F24" i="12"/>
  <c r="J22" i="12"/>
  <c r="J21" i="12"/>
  <c r="J20" i="12"/>
  <c r="D20" i="12" s="1"/>
  <c r="F11" i="12"/>
  <c r="J18" i="12"/>
  <c r="D17" i="12" s="1"/>
  <c r="J17" i="12"/>
  <c r="J9" i="12"/>
  <c r="J8" i="12"/>
  <c r="J7" i="12"/>
  <c r="F22" i="12" l="1"/>
  <c r="F21" i="12"/>
  <c r="F26" i="12" s="1"/>
  <c r="F29" i="12"/>
  <c r="F30" i="12" s="1"/>
  <c r="F27" i="12"/>
  <c r="F28" i="12" s="1"/>
  <c r="F20" i="12"/>
  <c r="D7" i="12"/>
  <c r="F7" i="12" s="1"/>
  <c r="J25" i="10"/>
  <c r="J24" i="10"/>
  <c r="J23" i="10"/>
  <c r="J22" i="10"/>
  <c r="J21" i="10"/>
  <c r="J20" i="10"/>
  <c r="J19" i="10"/>
  <c r="J18" i="10"/>
  <c r="J17" i="10"/>
  <c r="D17" i="10"/>
  <c r="F24" i="10" s="1"/>
  <c r="J12" i="10"/>
  <c r="J14" i="11"/>
  <c r="J13" i="11"/>
  <c r="D12" i="11" s="1"/>
  <c r="F13" i="11" s="1"/>
  <c r="J12" i="11"/>
  <c r="J8" i="11"/>
  <c r="J9" i="11"/>
  <c r="F9" i="12" l="1"/>
  <c r="F8" i="12"/>
  <c r="F13" i="12" s="1"/>
  <c r="F14" i="12" s="1"/>
  <c r="F15" i="12" s="1"/>
  <c r="F17" i="10"/>
  <c r="F19" i="10"/>
  <c r="F21" i="10"/>
  <c r="F23" i="10"/>
  <c r="F25" i="10"/>
  <c r="F18" i="10"/>
  <c r="F20" i="10"/>
  <c r="F22" i="10"/>
  <c r="F12" i="11"/>
  <c r="F14" i="11"/>
  <c r="J15" i="10"/>
  <c r="J14" i="10"/>
  <c r="J13" i="10"/>
  <c r="J11" i="10"/>
  <c r="J10" i="10"/>
  <c r="J9" i="10"/>
  <c r="J8" i="10"/>
  <c r="J7" i="10"/>
  <c r="J7" i="11"/>
  <c r="D7" i="11" s="1"/>
  <c r="J21" i="9"/>
  <c r="D15" i="9" s="1"/>
  <c r="J20" i="9"/>
  <c r="J19" i="9"/>
  <c r="J18" i="9"/>
  <c r="J17" i="9"/>
  <c r="J16" i="9"/>
  <c r="J15" i="9"/>
  <c r="J13" i="9"/>
  <c r="J12" i="9"/>
  <c r="J10" i="9"/>
  <c r="J11" i="9"/>
  <c r="J9" i="9"/>
  <c r="J8" i="9"/>
  <c r="J7" i="9"/>
  <c r="J20" i="8"/>
  <c r="J19" i="8"/>
  <c r="D15" i="8" s="1"/>
  <c r="F20" i="8" s="1"/>
  <c r="J18" i="8"/>
  <c r="J17" i="8"/>
  <c r="J16" i="8"/>
  <c r="J15" i="8"/>
  <c r="J12" i="8"/>
  <c r="J11" i="8"/>
  <c r="J10" i="8"/>
  <c r="J9" i="8"/>
  <c r="J8" i="8"/>
  <c r="D7" i="8" s="1"/>
  <c r="F8" i="8" s="1"/>
  <c r="J22" i="7"/>
  <c r="D16" i="7" s="1"/>
  <c r="J21" i="7"/>
  <c r="J20" i="7"/>
  <c r="J19" i="7"/>
  <c r="F19" i="7"/>
  <c r="J18" i="7"/>
  <c r="J17" i="7"/>
  <c r="J16" i="7"/>
  <c r="J13" i="7"/>
  <c r="J12" i="7"/>
  <c r="J11" i="7"/>
  <c r="F10" i="7"/>
  <c r="J9" i="7"/>
  <c r="J8" i="7"/>
  <c r="J10" i="7"/>
  <c r="J7" i="8"/>
  <c r="J7" i="7"/>
  <c r="D7" i="9" l="1"/>
  <c r="F8" i="9" s="1"/>
  <c r="F16" i="12"/>
  <c r="F17" i="12" s="1"/>
  <c r="F9" i="11"/>
  <c r="F8" i="11"/>
  <c r="D7" i="10"/>
  <c r="F12" i="10" s="1"/>
  <c r="F7" i="11"/>
  <c r="F21" i="9"/>
  <c r="F18" i="9"/>
  <c r="F20" i="9"/>
  <c r="F16" i="9"/>
  <c r="F15" i="9"/>
  <c r="F17" i="9"/>
  <c r="F19" i="9"/>
  <c r="F13" i="9"/>
  <c r="F12" i="9"/>
  <c r="F10" i="9"/>
  <c r="F11" i="9"/>
  <c r="F9" i="9"/>
  <c r="F15" i="8"/>
  <c r="F17" i="8"/>
  <c r="F19" i="8"/>
  <c r="F16" i="8"/>
  <c r="F18" i="8"/>
  <c r="F12" i="8"/>
  <c r="F11" i="8"/>
  <c r="F9" i="8"/>
  <c r="F10" i="8"/>
  <c r="F7" i="9"/>
  <c r="D7" i="7"/>
  <c r="F12" i="7" s="1"/>
  <c r="F22" i="7"/>
  <c r="F21" i="7"/>
  <c r="F17" i="7"/>
  <c r="F16" i="7"/>
  <c r="F18" i="7"/>
  <c r="F20" i="7"/>
  <c r="F7" i="8"/>
  <c r="J8" i="5"/>
  <c r="J20" i="5"/>
  <c r="J19" i="5"/>
  <c r="J18" i="5"/>
  <c r="J17" i="5"/>
  <c r="J16" i="5"/>
  <c r="D15" i="5" s="1"/>
  <c r="F20" i="5" s="1"/>
  <c r="J15" i="5"/>
  <c r="J7" i="5"/>
  <c r="J11" i="5"/>
  <c r="E8" i="6"/>
  <c r="E6" i="6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D25" i="4"/>
  <c r="F38" i="4" s="1"/>
  <c r="J16" i="4"/>
  <c r="J14" i="4"/>
  <c r="J18" i="4"/>
  <c r="J17" i="4"/>
  <c r="J21" i="4"/>
  <c r="J20" i="4"/>
  <c r="J19" i="4"/>
  <c r="J12" i="4"/>
  <c r="J15" i="4"/>
  <c r="J13" i="4"/>
  <c r="J11" i="4"/>
  <c r="J10" i="4"/>
  <c r="J9" i="4"/>
  <c r="J8" i="4"/>
  <c r="J7" i="4"/>
  <c r="J24" i="3"/>
  <c r="J23" i="3"/>
  <c r="J22" i="3"/>
  <c r="J21" i="3"/>
  <c r="J20" i="3"/>
  <c r="J19" i="3"/>
  <c r="J18" i="3"/>
  <c r="J17" i="3"/>
  <c r="D17" i="3"/>
  <c r="F24" i="3" s="1"/>
  <c r="F14" i="10" l="1"/>
  <c r="F15" i="10"/>
  <c r="F11" i="10"/>
  <c r="F13" i="10"/>
  <c r="F9" i="10"/>
  <c r="F10" i="10"/>
  <c r="F8" i="10"/>
  <c r="F7" i="10"/>
  <c r="F8" i="7"/>
  <c r="F7" i="7"/>
  <c r="F11" i="7"/>
  <c r="F13" i="7"/>
  <c r="F9" i="7"/>
  <c r="J10" i="5"/>
  <c r="J9" i="5"/>
  <c r="J12" i="5"/>
  <c r="D7" i="5" s="1"/>
  <c r="F11" i="5" s="1"/>
  <c r="F15" i="5"/>
  <c r="F17" i="5"/>
  <c r="F19" i="5"/>
  <c r="F16" i="5"/>
  <c r="F18" i="5"/>
  <c r="F25" i="4"/>
  <c r="F27" i="4"/>
  <c r="F29" i="4"/>
  <c r="F31" i="4"/>
  <c r="F33" i="4"/>
  <c r="F35" i="4"/>
  <c r="F37" i="4"/>
  <c r="F39" i="4"/>
  <c r="F26" i="4"/>
  <c r="F28" i="4"/>
  <c r="F30" i="4"/>
  <c r="F32" i="4"/>
  <c r="F34" i="4"/>
  <c r="F36" i="4"/>
  <c r="D7" i="4"/>
  <c r="F16" i="4" s="1"/>
  <c r="F17" i="3"/>
  <c r="F19" i="3"/>
  <c r="F21" i="3"/>
  <c r="F23" i="3"/>
  <c r="F18" i="3"/>
  <c r="F20" i="3"/>
  <c r="F22" i="3"/>
  <c r="J14" i="3"/>
  <c r="J13" i="3"/>
  <c r="J12" i="3"/>
  <c r="J11" i="3"/>
  <c r="J8" i="3"/>
  <c r="J9" i="3"/>
  <c r="J10" i="3"/>
  <c r="J26" i="2"/>
  <c r="J25" i="2"/>
  <c r="J24" i="2"/>
  <c r="J23" i="2"/>
  <c r="J22" i="2"/>
  <c r="J21" i="2"/>
  <c r="J20" i="2"/>
  <c r="J19" i="2"/>
  <c r="D18" i="2" s="1"/>
  <c r="F26" i="2" s="1"/>
  <c r="J18" i="2"/>
  <c r="J8" i="2"/>
  <c r="J7" i="3"/>
  <c r="F10" i="5" l="1"/>
  <c r="F9" i="5"/>
  <c r="F8" i="5"/>
  <c r="F12" i="5"/>
  <c r="F7" i="5"/>
  <c r="F21" i="4"/>
  <c r="F14" i="4"/>
  <c r="F18" i="4"/>
  <c r="F17" i="4"/>
  <c r="F19" i="4"/>
  <c r="F20" i="4"/>
  <c r="F13" i="4"/>
  <c r="F15" i="4"/>
  <c r="F11" i="4"/>
  <c r="F12" i="4"/>
  <c r="F9" i="4"/>
  <c r="F10" i="4"/>
  <c r="F8" i="4"/>
  <c r="F7" i="4"/>
  <c r="D7" i="3"/>
  <c r="F8" i="3" s="1"/>
  <c r="F19" i="2"/>
  <c r="F21" i="2"/>
  <c r="F23" i="2"/>
  <c r="F25" i="2"/>
  <c r="F18" i="2"/>
  <c r="F20" i="2"/>
  <c r="F22" i="2"/>
  <c r="F24" i="2"/>
  <c r="J15" i="2"/>
  <c r="J14" i="2"/>
  <c r="J13" i="2"/>
  <c r="J12" i="2"/>
  <c r="J11" i="2"/>
  <c r="J10" i="2"/>
  <c r="J9" i="2"/>
  <c r="J7" i="2"/>
  <c r="J28" i="1"/>
  <c r="J27" i="1"/>
  <c r="J26" i="1"/>
  <c r="J25" i="1"/>
  <c r="J24" i="1"/>
  <c r="J23" i="1"/>
  <c r="J22" i="1"/>
  <c r="J21" i="1"/>
  <c r="J20" i="1"/>
  <c r="J19" i="1"/>
  <c r="J13" i="1"/>
  <c r="J12" i="1"/>
  <c r="J11" i="1"/>
  <c r="J10" i="1"/>
  <c r="J7" i="1"/>
  <c r="J9" i="1"/>
  <c r="J16" i="1"/>
  <c r="J15" i="1"/>
  <c r="J14" i="1"/>
  <c r="J8" i="1"/>
  <c r="D7" i="2" l="1"/>
  <c r="D7" i="1"/>
  <c r="F7" i="1" s="1"/>
  <c r="F9" i="3"/>
  <c r="F14" i="3"/>
  <c r="F11" i="3"/>
  <c r="F7" i="3"/>
  <c r="F12" i="3"/>
  <c r="F10" i="3"/>
  <c r="F13" i="3"/>
  <c r="F14" i="2"/>
  <c r="F7" i="2"/>
  <c r="F8" i="2"/>
  <c r="F9" i="2"/>
  <c r="F11" i="2"/>
  <c r="F13" i="2"/>
  <c r="F15" i="2"/>
  <c r="F10" i="2"/>
  <c r="F12" i="2"/>
  <c r="D19" i="1"/>
  <c r="F28" i="1" s="1"/>
  <c r="F10" i="1" l="1"/>
  <c r="F16" i="1"/>
  <c r="F13" i="1"/>
  <c r="F15" i="1"/>
  <c r="F8" i="1"/>
  <c r="F12" i="1"/>
  <c r="F14" i="1"/>
  <c r="F9" i="1"/>
  <c r="F11" i="1"/>
  <c r="F27" i="1"/>
  <c r="F21" i="1"/>
  <c r="F24" i="1"/>
  <c r="F19" i="1"/>
  <c r="F20" i="1"/>
  <c r="F26" i="1"/>
  <c r="F25" i="1"/>
  <c r="F22" i="1"/>
  <c r="F23" i="1"/>
</calcChain>
</file>

<file path=xl/sharedStrings.xml><?xml version="1.0" encoding="utf-8"?>
<sst xmlns="http://schemas.openxmlformats.org/spreadsheetml/2006/main" count="598" uniqueCount="187">
  <si>
    <t>Unit converter</t>
  </si>
  <si>
    <t>Length</t>
  </si>
  <si>
    <t>mm</t>
  </si>
  <si>
    <t>inch</t>
  </si>
  <si>
    <t>mile</t>
  </si>
  <si>
    <t>km</t>
  </si>
  <si>
    <t>µm</t>
  </si>
  <si>
    <t>m</t>
  </si>
  <si>
    <t>INPUT</t>
  </si>
  <si>
    <t>OUTPUT</t>
  </si>
  <si>
    <t>Weight</t>
  </si>
  <si>
    <t>kg</t>
  </si>
  <si>
    <t>g</t>
  </si>
  <si>
    <t>mg</t>
  </si>
  <si>
    <t>lb</t>
  </si>
  <si>
    <t>oz</t>
  </si>
  <si>
    <t>grain</t>
  </si>
  <si>
    <t>ton (metric)</t>
  </si>
  <si>
    <t>Thou (1/1000 inch)</t>
  </si>
  <si>
    <t>Tenths (1/10000 inch)</t>
  </si>
  <si>
    <t>1inch = 25.4mm</t>
  </si>
  <si>
    <r>
      <t xml:space="preserve">1 Thou = 10 Tenths = 25.4 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charset val="128"/>
      </rPr>
      <t xml:space="preserve">m </t>
    </r>
  </si>
  <si>
    <r>
      <t xml:space="preserve">1 m = 1000 mm </t>
    </r>
    <r>
      <rPr>
        <sz val="11"/>
        <color theme="1"/>
        <rFont val="Calibri"/>
        <family val="2"/>
      </rPr>
      <t>≒</t>
    </r>
    <r>
      <rPr>
        <sz val="11"/>
        <color theme="1"/>
        <rFont val="Calibri"/>
        <family val="2"/>
        <charset val="128"/>
      </rPr>
      <t xml:space="preserve"> 40 inch</t>
    </r>
  </si>
  <si>
    <t>Choose unit</t>
  </si>
  <si>
    <t>Input value</t>
  </si>
  <si>
    <t>Area</t>
  </si>
  <si>
    <r>
      <t>m</t>
    </r>
    <r>
      <rPr>
        <sz val="11"/>
        <color theme="1"/>
        <rFont val="Calibri"/>
        <family val="2"/>
      </rPr>
      <t>²</t>
    </r>
  </si>
  <si>
    <t>ft²</t>
  </si>
  <si>
    <t>yd²</t>
  </si>
  <si>
    <t>acre</t>
  </si>
  <si>
    <t>a</t>
  </si>
  <si>
    <t>ha</t>
  </si>
  <si>
    <t>坪(Tsubo)</t>
  </si>
  <si>
    <t>in²</t>
  </si>
  <si>
    <t>m²</t>
  </si>
  <si>
    <t>Volume</t>
  </si>
  <si>
    <t>l</t>
  </si>
  <si>
    <t>gallon</t>
  </si>
  <si>
    <r>
      <t>m</t>
    </r>
    <r>
      <rPr>
        <sz val="11"/>
        <color theme="1"/>
        <rFont val="Calibri"/>
        <family val="2"/>
      </rPr>
      <t>³</t>
    </r>
  </si>
  <si>
    <t>mm³</t>
  </si>
  <si>
    <t>in³</t>
  </si>
  <si>
    <t>ft³</t>
  </si>
  <si>
    <t>yd³</t>
  </si>
  <si>
    <t>ml, cc</t>
  </si>
  <si>
    <t>升(syou)</t>
  </si>
  <si>
    <t>合(gou)</t>
  </si>
  <si>
    <t>pint (UK)</t>
  </si>
  <si>
    <t>fl oz</t>
  </si>
  <si>
    <t>US</t>
  </si>
  <si>
    <t>JP</t>
  </si>
  <si>
    <t>liquid pint</t>
  </si>
  <si>
    <t>dry pint</t>
  </si>
  <si>
    <t>oil barrel</t>
  </si>
  <si>
    <t>UK</t>
  </si>
  <si>
    <t>Temperature</t>
  </si>
  <si>
    <t>℃</t>
  </si>
  <si>
    <t>℉</t>
  </si>
  <si>
    <t>body temperature</t>
  </si>
  <si>
    <t>Angle</t>
  </si>
  <si>
    <t>µm/m</t>
  </si>
  <si>
    <t>degree</t>
  </si>
  <si>
    <t>radian</t>
  </si>
  <si>
    <t>minute</t>
  </si>
  <si>
    <t>revolution</t>
  </si>
  <si>
    <t>N</t>
  </si>
  <si>
    <t>kN</t>
  </si>
  <si>
    <r>
      <t>N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charset val="128"/>
      </rPr>
      <t>m</t>
    </r>
  </si>
  <si>
    <t>N·cm</t>
  </si>
  <si>
    <t>kgf·cm</t>
  </si>
  <si>
    <t>kgf·m</t>
  </si>
  <si>
    <t>lbf·in</t>
  </si>
  <si>
    <t>lbf·ft</t>
  </si>
  <si>
    <t>ozf·in</t>
  </si>
  <si>
    <t>Torque</t>
  </si>
  <si>
    <t>Casting to casting</t>
  </si>
  <si>
    <t xml:space="preserve">  Steel to steel</t>
  </si>
  <si>
    <t xml:space="preserve"> 4MM-0.7</t>
  </si>
  <si>
    <t xml:space="preserve"> 5MM-0.8</t>
  </si>
  <si>
    <t xml:space="preserve"> 6MM-1.0</t>
  </si>
  <si>
    <t xml:space="preserve"> 8MM-1.25</t>
  </si>
  <si>
    <t>10MM-1.5</t>
  </si>
  <si>
    <t>12MM-1.75</t>
  </si>
  <si>
    <t>14MM-2.0</t>
  </si>
  <si>
    <t>16MM-2.0</t>
  </si>
  <si>
    <t>18MM-2.5</t>
  </si>
  <si>
    <t>20MM-2.5</t>
  </si>
  <si>
    <t>24MM-3.0</t>
  </si>
  <si>
    <t>30MM-3.5</t>
  </si>
  <si>
    <t>27MM-3.0</t>
  </si>
  <si>
    <t>22MM-2.5</t>
  </si>
  <si>
    <t>Class: 12.9 (M4-20)
Class: 10.9 (M22-)</t>
  </si>
  <si>
    <t>Steel (washer) to casting</t>
  </si>
  <si>
    <t>Reference</t>
  </si>
  <si>
    <t>kgf</t>
  </si>
  <si>
    <t>gf</t>
  </si>
  <si>
    <t>lbf</t>
  </si>
  <si>
    <t>ozf</t>
  </si>
  <si>
    <t>Force</t>
  </si>
  <si>
    <t>MPa</t>
  </si>
  <si>
    <t>bar</t>
  </si>
  <si>
    <t>Pa</t>
  </si>
  <si>
    <t>atm</t>
  </si>
  <si>
    <t>mmHg, Torr</t>
  </si>
  <si>
    <r>
      <t>PSI, lbf/in</t>
    </r>
    <r>
      <rPr>
        <sz val="11"/>
        <color theme="1"/>
        <rFont val="Calibri"/>
        <family val="2"/>
      </rPr>
      <t>²</t>
    </r>
  </si>
  <si>
    <r>
      <t>at, kgf/cm</t>
    </r>
    <r>
      <rPr>
        <sz val="11"/>
        <color theme="1"/>
        <rFont val="Calibri"/>
        <family val="2"/>
      </rPr>
      <t>²</t>
    </r>
  </si>
  <si>
    <t>PSI, lbf/in²</t>
  </si>
  <si>
    <t>PSI</t>
  </si>
  <si>
    <t>hydraulic</t>
  </si>
  <si>
    <t>coolant</t>
  </si>
  <si>
    <t>coolant, hydraulic</t>
  </si>
  <si>
    <t>m/s</t>
  </si>
  <si>
    <t>km/h</t>
  </si>
  <si>
    <t>mi/h</t>
  </si>
  <si>
    <t>knot</t>
  </si>
  <si>
    <t>mm/min</t>
  </si>
  <si>
    <t>in/min</t>
  </si>
  <si>
    <t>m/min</t>
  </si>
  <si>
    <t>Speed</t>
  </si>
  <si>
    <t>V33i</t>
  </si>
  <si>
    <t>a51nx</t>
  </si>
  <si>
    <t>MAG3</t>
  </si>
  <si>
    <t>T2</t>
  </si>
  <si>
    <t>max rapid feedrate (XYZ)</t>
  </si>
  <si>
    <r>
      <t>π</t>
    </r>
    <r>
      <rPr>
        <sz val="11"/>
        <color theme="1"/>
        <rFont val="Calibri"/>
        <family val="2"/>
        <charset val="128"/>
      </rPr>
      <t xml:space="preserve"> = input"</t>
    </r>
    <r>
      <rPr>
        <sz val="11"/>
        <color rgb="FFFF0000"/>
        <rFont val="Calibri"/>
        <family val="2"/>
      </rPr>
      <t>PI()</t>
    </r>
    <r>
      <rPr>
        <sz val="11"/>
        <color theme="1"/>
        <rFont val="Calibri"/>
        <family val="2"/>
        <charset val="128"/>
      </rPr>
      <t>"</t>
    </r>
  </si>
  <si>
    <t>N·m</t>
  </si>
  <si>
    <t>km/l</t>
  </si>
  <si>
    <t>MPG, mi/gallon</t>
  </si>
  <si>
    <t>l/100km</t>
  </si>
  <si>
    <t>Fuel Economy</t>
  </si>
  <si>
    <t>using for</t>
  </si>
  <si>
    <r>
      <t xml:space="preserve">1lb </t>
    </r>
    <r>
      <rPr>
        <sz val="11"/>
        <color theme="1"/>
        <rFont val="Calibri"/>
        <family val="2"/>
      </rPr>
      <t xml:space="preserve">≒ </t>
    </r>
    <r>
      <rPr>
        <sz val="11"/>
        <color theme="1"/>
        <rFont val="Calibri"/>
        <family val="2"/>
        <charset val="128"/>
      </rPr>
      <t>450g</t>
    </r>
  </si>
  <si>
    <r>
      <t xml:space="preserve">1gallon </t>
    </r>
    <r>
      <rPr>
        <sz val="11"/>
        <color theme="1"/>
        <rFont val="Calibri"/>
        <family val="2"/>
      </rPr>
      <t>≒ 3.8l</t>
    </r>
  </si>
  <si>
    <t>℃ = 5/9(℉-32)</t>
  </si>
  <si>
    <t>water boiling point</t>
  </si>
  <si>
    <t>Tool Clamping Force</t>
  </si>
  <si>
    <t>5kN</t>
  </si>
  <si>
    <t>HSK-E32 (40k)</t>
  </si>
  <si>
    <t>HSK-A63 (20k)</t>
  </si>
  <si>
    <t>18kN</t>
  </si>
  <si>
    <t>7/24 #40</t>
  </si>
  <si>
    <t>Taper type</t>
  </si>
  <si>
    <t>8.8kN</t>
  </si>
  <si>
    <t>11kN</t>
  </si>
  <si>
    <t>7/24 #40 (20k)</t>
  </si>
  <si>
    <t>HSK-F63, HSK-E50 (30k)</t>
  </si>
  <si>
    <t>9.8kN</t>
  </si>
  <si>
    <t>HSK-A63</t>
  </si>
  <si>
    <t>a71</t>
  </si>
  <si>
    <t>7/24 #50</t>
  </si>
  <si>
    <t>19.6kN</t>
  </si>
  <si>
    <t>HSK-A100</t>
  </si>
  <si>
    <t>44.1kN</t>
  </si>
  <si>
    <t>ft.</t>
  </si>
  <si>
    <t>yd.</t>
  </si>
  <si>
    <t>ft./min</t>
  </si>
  <si>
    <t>ft./s</t>
  </si>
  <si>
    <t>pneumatic, coolant</t>
  </si>
  <si>
    <t>Socket Head Cap Screw Tighten Torque</t>
  </si>
  <si>
    <t>arc sec</t>
  </si>
  <si>
    <t>lb.</t>
  </si>
  <si>
    <r>
      <t xml:space="preserve">1 arc sec </t>
    </r>
    <r>
      <rPr>
        <sz val="11"/>
        <color theme="1"/>
        <rFont val="Calibri"/>
        <family val="2"/>
      </rPr>
      <t xml:space="preserve">≒ </t>
    </r>
    <r>
      <rPr>
        <sz val="11"/>
        <color theme="1"/>
        <rFont val="Calibri"/>
        <family val="2"/>
        <charset val="128"/>
      </rPr>
      <t>4.8 µm/m</t>
    </r>
  </si>
  <si>
    <t>long ton, gross ton (UK)</t>
  </si>
  <si>
    <t>short ton, net ton (US)</t>
  </si>
  <si>
    <t>scale purge air</t>
  </si>
  <si>
    <t>Pressure</t>
  </si>
  <si>
    <t>$/gallon</t>
  </si>
  <si>
    <t>$/100mi</t>
  </si>
  <si>
    <t>mi/$</t>
  </si>
  <si>
    <t>km/$</t>
  </si>
  <si>
    <t>$/100km</t>
  </si>
  <si>
    <t>$/mi</t>
  </si>
  <si>
    <t>$/l</t>
  </si>
  <si>
    <t>℉ = 9/5℃+32</t>
  </si>
  <si>
    <t>T1</t>
  </si>
  <si>
    <t>Socket size</t>
  </si>
  <si>
    <t>3mm</t>
  </si>
  <si>
    <t>4mm</t>
  </si>
  <si>
    <t>5mm</t>
  </si>
  <si>
    <t>6mm</t>
  </si>
  <si>
    <t>8mm</t>
  </si>
  <si>
    <t>10mm</t>
  </si>
  <si>
    <t>12mm</t>
  </si>
  <si>
    <t>14mm</t>
  </si>
  <si>
    <t>17mm</t>
  </si>
  <si>
    <t>19mm</t>
  </si>
  <si>
    <t>22mm</t>
  </si>
  <si>
    <t>water freezing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</si>
</sst>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28"/>
    </font>
    <font>
      <sz val="11"/>
      <color rgb="FFFF0000"/>
      <name val="Calibri"/>
      <family val="2"/>
      <charset val="128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 wrapText="1"/>
    </xf>
    <xf numFmtId="0" fontId="0" fillId="2" borderId="1" xfId="0" applyFill="1" applyBorder="1" applyProtection="1">
      <protection locked="0"/>
    </xf>
    <xf numFmtId="0" fontId="0" fillId="3" borderId="1" xfId="0" applyFill="1" applyBorder="1" applyAlignment="1" applyProtection="1">
      <alignment horizontal="right"/>
      <protection locked="0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 wrapText="1"/>
    </xf>
    <xf numFmtId="0" fontId="0" fillId="0" borderId="9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 applyProtection="1">
      <alignment horizontal="right"/>
      <protection locked="0"/>
    </xf>
    <xf numFmtId="164" fontId="0" fillId="0" borderId="1" xfId="0" applyNumberFormat="1" applyBorder="1"/>
    <xf numFmtId="164" fontId="0" fillId="0" borderId="0" xfId="0" applyNumberFormat="1"/>
    <xf numFmtId="0" fontId="0" fillId="0" borderId="0" xfId="0" applyAlignment="1" applyProtection="1">
      <alignment horizontal="center"/>
      <protection locked="0"/>
    </xf>
    <xf numFmtId="0" fontId="1" fillId="0" borderId="0" xfId="0" applyFont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164" fontId="0" fillId="0" borderId="1" xfId="0" applyNumberFormat="1" applyBorder="1" applyProtection="1"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19" xfId="0" applyBorder="1" applyAlignment="1" applyProtection="1">
      <alignment horizontal="center" wrapText="1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 wrapText="1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5</xdr:row>
      <xdr:rowOff>95250</xdr:rowOff>
    </xdr:from>
    <xdr:to>
      <xdr:col>3</xdr:col>
      <xdr:colOff>638175</xdr:colOff>
      <xdr:row>5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2305050" y="1066800"/>
          <a:ext cx="561975" cy="0"/>
        </a:xfrm>
        <a:prstGeom prst="straightConnector1">
          <a:avLst/>
        </a:prstGeom>
        <a:ln w="317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7</xdr:row>
      <xdr:rowOff>95250</xdr:rowOff>
    </xdr:from>
    <xdr:to>
      <xdr:col>3</xdr:col>
      <xdr:colOff>638175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2305050" y="1447800"/>
          <a:ext cx="561975" cy="0"/>
        </a:xfrm>
        <a:prstGeom prst="straightConnector1">
          <a:avLst/>
        </a:prstGeom>
        <a:ln w="317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0"/>
  <sheetViews>
    <sheetView tabSelected="1" zoomScaleNormal="100" workbookViewId="0">
      <selection activeCell="B20" sqref="B20"/>
    </sheetView>
  </sheetViews>
  <sheetFormatPr defaultColWidth="9.1796875" defaultRowHeight="14.5"/>
  <cols>
    <col min="2" max="2" width="13.81640625" bestFit="1" customWidth="1"/>
    <col min="3" max="3" width="20.1796875" style="1" bestFit="1" customWidth="1"/>
    <col min="4" max="4" width="9" style="1" hidden="1" customWidth="1"/>
    <col min="6" max="6" width="18.26953125" customWidth="1"/>
    <col min="7" max="7" width="20.1796875" style="1" bestFit="1" customWidth="1"/>
    <col min="9" max="9" width="20.1796875" hidden="1" customWidth="1"/>
    <col min="10" max="10" width="11" hidden="1" customWidth="1"/>
    <col min="11" max="11" width="27.1796875" style="11" customWidth="1"/>
  </cols>
  <sheetData>
    <row r="1" spans="2:11">
      <c r="B1" t="s">
        <v>0</v>
      </c>
    </row>
    <row r="2" spans="2:11">
      <c r="C2" s="9" t="s">
        <v>24</v>
      </c>
    </row>
    <row r="3" spans="2:11">
      <c r="C3" s="10" t="s">
        <v>23</v>
      </c>
    </row>
    <row r="4" spans="2:11" ht="15" thickBot="1"/>
    <row r="5" spans="2:11" ht="15" thickBot="1">
      <c r="B5" s="50" t="s">
        <v>1</v>
      </c>
      <c r="C5" s="51"/>
      <c r="D5" s="51"/>
      <c r="E5" s="51"/>
      <c r="F5" s="51"/>
      <c r="G5" s="52"/>
      <c r="K5" s="12" t="s">
        <v>92</v>
      </c>
    </row>
    <row r="6" spans="2:11">
      <c r="B6" s="49" t="s">
        <v>8</v>
      </c>
      <c r="C6" s="49"/>
      <c r="D6" s="2"/>
      <c r="F6" s="49" t="s">
        <v>9</v>
      </c>
      <c r="G6" s="49"/>
      <c r="I6" s="3"/>
      <c r="J6" s="4" t="s">
        <v>7</v>
      </c>
      <c r="K6" s="13" t="s">
        <v>20</v>
      </c>
    </row>
    <row r="7" spans="2:11">
      <c r="B7" s="7">
        <v>6.4299999999999996E-2</v>
      </c>
      <c r="C7" s="8" t="s">
        <v>3</v>
      </c>
      <c r="D7" s="1">
        <f>VLOOKUP(C7,Length!$I$7:$J$30,2,0)</f>
        <v>1.6332199999999999E-3</v>
      </c>
      <c r="F7" s="3">
        <f>D7/1000</f>
        <v>1.6332199999999998E-6</v>
      </c>
      <c r="G7" s="4" t="s">
        <v>5</v>
      </c>
      <c r="I7" s="4" t="s">
        <v>5</v>
      </c>
      <c r="J7" s="3">
        <f>B7*1000</f>
        <v>64.3</v>
      </c>
      <c r="K7" s="13" t="s">
        <v>21</v>
      </c>
    </row>
    <row r="8" spans="2:11">
      <c r="F8" s="3">
        <f>D7</f>
        <v>1.6332199999999999E-3</v>
      </c>
      <c r="G8" s="4" t="s">
        <v>7</v>
      </c>
      <c r="I8" s="4" t="s">
        <v>7</v>
      </c>
      <c r="J8" s="3">
        <f>B7</f>
        <v>6.4299999999999996E-2</v>
      </c>
      <c r="K8" s="13"/>
    </row>
    <row r="9" spans="2:11">
      <c r="F9" s="3">
        <f>D7*1000</f>
        <v>1.6332199999999999</v>
      </c>
      <c r="G9" s="4" t="s">
        <v>2</v>
      </c>
      <c r="I9" s="4" t="s">
        <v>2</v>
      </c>
      <c r="J9" s="3">
        <f>B7/1000</f>
        <v>6.4299999999999991E-5</v>
      </c>
      <c r="K9" s="13" t="s">
        <v>22</v>
      </c>
    </row>
    <row r="10" spans="2:11">
      <c r="F10" s="3">
        <f>D7*1000000</f>
        <v>1633.2199999999998</v>
      </c>
      <c r="G10" s="5" t="s">
        <v>6</v>
      </c>
      <c r="I10" s="5" t="s">
        <v>6</v>
      </c>
      <c r="J10" s="3">
        <f>B7/1000000</f>
        <v>6.43E-8</v>
      </c>
    </row>
    <row r="11" spans="2:11">
      <c r="F11" s="3">
        <f>CONVERT(D7,"m","in")</f>
        <v>6.4299999999999996E-2</v>
      </c>
      <c r="G11" s="4" t="s">
        <v>3</v>
      </c>
      <c r="I11" s="4" t="s">
        <v>3</v>
      </c>
      <c r="J11" s="3">
        <f>CONVERT(B7,"in","m")</f>
        <v>1.6332199999999999E-3</v>
      </c>
      <c r="K11" s="13"/>
    </row>
    <row r="12" spans="2:11">
      <c r="F12" s="3">
        <f>CONVERT(D7,"m","in")*1000</f>
        <v>64.3</v>
      </c>
      <c r="G12" s="4" t="s">
        <v>18</v>
      </c>
      <c r="I12" s="4" t="s">
        <v>18</v>
      </c>
      <c r="J12" s="3">
        <f>CONVERT(B7,"in","m")/1000</f>
        <v>1.6332199999999998E-6</v>
      </c>
      <c r="K12" s="13"/>
    </row>
    <row r="13" spans="2:11">
      <c r="F13" s="3">
        <f>CONVERT(D7,"m","in")*10000</f>
        <v>643</v>
      </c>
      <c r="G13" s="4" t="s">
        <v>19</v>
      </c>
      <c r="I13" s="4" t="s">
        <v>19</v>
      </c>
      <c r="J13" s="3">
        <f>CONVERT(B7,"in","m")/10000</f>
        <v>1.6332199999999999E-7</v>
      </c>
    </row>
    <row r="14" spans="2:11">
      <c r="F14" s="3">
        <f>CONVERT(D7,"m","mi")</f>
        <v>1.0148358585858584E-6</v>
      </c>
      <c r="G14" s="4" t="s">
        <v>4</v>
      </c>
      <c r="I14" s="4" t="s">
        <v>4</v>
      </c>
      <c r="J14" s="3">
        <f>CONVERT(B7,"mi","m")</f>
        <v>103.48081919999998</v>
      </c>
      <c r="K14" s="13"/>
    </row>
    <row r="15" spans="2:11">
      <c r="F15" s="3">
        <f>CONVERT(D7,"m","yd")</f>
        <v>1.7861111111111109E-3</v>
      </c>
      <c r="G15" s="4" t="s">
        <v>153</v>
      </c>
      <c r="I15" s="4" t="s">
        <v>153</v>
      </c>
      <c r="J15" s="3">
        <f>CONVERT(B7,"yd","m")</f>
        <v>5.8795920000000002E-2</v>
      </c>
    </row>
    <row r="16" spans="2:11">
      <c r="F16" s="3">
        <f>CONVERT(D7,"m","ft")</f>
        <v>5.358333333333333E-3</v>
      </c>
      <c r="G16" s="4" t="s">
        <v>152</v>
      </c>
      <c r="I16" s="4" t="s">
        <v>152</v>
      </c>
      <c r="J16" s="3">
        <f>CONVERT(B7,"ft","m")</f>
        <v>1.9598640000000001E-2</v>
      </c>
    </row>
    <row r="17" spans="2:10">
      <c r="I17" s="1"/>
    </row>
    <row r="18" spans="2:10">
      <c r="B18" s="49" t="s">
        <v>8</v>
      </c>
      <c r="C18" s="49"/>
      <c r="D18" s="2"/>
      <c r="F18" s="49" t="s">
        <v>9</v>
      </c>
      <c r="G18" s="49"/>
      <c r="I18" s="3"/>
      <c r="J18" s="4" t="s">
        <v>7</v>
      </c>
    </row>
    <row r="19" spans="2:10">
      <c r="B19" s="7">
        <v>1.6060000000000001</v>
      </c>
      <c r="C19" s="8" t="s">
        <v>2</v>
      </c>
      <c r="D19" s="1">
        <f>VLOOKUP(C19,Length!$I$19:$J$30,2,0)</f>
        <v>1.606E-3</v>
      </c>
      <c r="F19" s="3">
        <f>D19/1000</f>
        <v>1.606E-6</v>
      </c>
      <c r="G19" s="4" t="s">
        <v>5</v>
      </c>
      <c r="I19" s="4" t="s">
        <v>5</v>
      </c>
      <c r="J19" s="3">
        <f>B19*1000</f>
        <v>1606</v>
      </c>
    </row>
    <row r="20" spans="2:10">
      <c r="F20" s="3">
        <f>D19</f>
        <v>1.606E-3</v>
      </c>
      <c r="G20" s="4" t="s">
        <v>7</v>
      </c>
      <c r="I20" s="4" t="s">
        <v>7</v>
      </c>
      <c r="J20" s="3">
        <f>B19</f>
        <v>1.6060000000000001</v>
      </c>
    </row>
    <row r="21" spans="2:10">
      <c r="F21" s="3">
        <f>D19*1000</f>
        <v>1.6060000000000001</v>
      </c>
      <c r="G21" s="4" t="s">
        <v>2</v>
      </c>
      <c r="I21" s="4" t="s">
        <v>2</v>
      </c>
      <c r="J21" s="3">
        <f>B19/1000</f>
        <v>1.606E-3</v>
      </c>
    </row>
    <row r="22" spans="2:10">
      <c r="F22" s="3">
        <f>D19*1000000</f>
        <v>1606</v>
      </c>
      <c r="G22" s="5" t="s">
        <v>6</v>
      </c>
      <c r="I22" s="5" t="s">
        <v>6</v>
      </c>
      <c r="J22" s="3">
        <f>B19/1000000</f>
        <v>1.6060000000000002E-6</v>
      </c>
    </row>
    <row r="23" spans="2:10">
      <c r="F23" s="3">
        <f>CONVERT(D19,"m","in")</f>
        <v>6.322834645669291E-2</v>
      </c>
      <c r="G23" s="4" t="s">
        <v>3</v>
      </c>
      <c r="I23" s="4" t="s">
        <v>3</v>
      </c>
      <c r="J23" s="3">
        <f>CONVERT(B19,"in","m")</f>
        <v>4.0792399999999999E-2</v>
      </c>
    </row>
    <row r="24" spans="2:10">
      <c r="F24" s="3">
        <f>CONVERT(D19,"m","in")*1000</f>
        <v>63.228346456692911</v>
      </c>
      <c r="G24" s="4" t="s">
        <v>18</v>
      </c>
      <c r="I24" s="4" t="s">
        <v>18</v>
      </c>
      <c r="J24" s="3">
        <f>CONVERT(B19,"in","m")/1000</f>
        <v>4.0792399999999999E-5</v>
      </c>
    </row>
    <row r="25" spans="2:10">
      <c r="F25" s="3">
        <f>CONVERT(D19,"m","in")*10000</f>
        <v>632.28346456692907</v>
      </c>
      <c r="G25" s="4" t="s">
        <v>19</v>
      </c>
      <c r="I25" s="4" t="s">
        <v>19</v>
      </c>
      <c r="J25" s="3">
        <f>CONVERT(B19,"in","m")/10000</f>
        <v>4.0792400000000001E-6</v>
      </c>
    </row>
    <row r="26" spans="2:10">
      <c r="F26" s="3">
        <f>CONVERT(D19,"m","mi")</f>
        <v>9.979221347331583E-7</v>
      </c>
      <c r="G26" s="4" t="s">
        <v>4</v>
      </c>
      <c r="I26" s="4" t="s">
        <v>4</v>
      </c>
      <c r="J26" s="3">
        <f>CONVERT(B19,"mi","m")</f>
        <v>2584.606464</v>
      </c>
    </row>
    <row r="27" spans="2:10">
      <c r="F27" s="3">
        <f>CONVERT(D19,"m","yd")</f>
        <v>1.7563429571303586E-3</v>
      </c>
      <c r="G27" s="4" t="s">
        <v>153</v>
      </c>
      <c r="I27" s="4" t="s">
        <v>153</v>
      </c>
      <c r="J27" s="3">
        <f>CONVERT(B19,"yd","m")</f>
        <v>1.4685264</v>
      </c>
    </row>
    <row r="28" spans="2:10">
      <c r="F28" s="3">
        <f>CONVERT(D19,"m","ft")</f>
        <v>5.2690288713910759E-3</v>
      </c>
      <c r="G28" s="4" t="s">
        <v>152</v>
      </c>
      <c r="I28" s="4" t="s">
        <v>152</v>
      </c>
      <c r="J28" s="3">
        <f>CONVERT(B19,"ft","m")</f>
        <v>0.48950880000000002</v>
      </c>
    </row>
    <row r="29" spans="2:10">
      <c r="I29" s="1"/>
    </row>
    <row r="30" spans="2:10">
      <c r="I30" s="1"/>
    </row>
  </sheetData>
  <sheetProtection sheet="1" objects="1" scenarios="1"/>
  <mergeCells count="5">
    <mergeCell ref="B6:C6"/>
    <mergeCell ref="F6:G6"/>
    <mergeCell ref="B5:G5"/>
    <mergeCell ref="B18:C18"/>
    <mergeCell ref="F18:G18"/>
  </mergeCells>
  <dataValidations count="1">
    <dataValidation type="list" allowBlank="1" showInputMessage="1" showErrorMessage="1" sqref="C7 C19" xr:uid="{00000000-0002-0000-0000-000000000000}">
      <formula1>$I$7:$I$16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6"/>
  <sheetViews>
    <sheetView workbookViewId="0">
      <selection activeCell="C15" sqref="C15"/>
    </sheetView>
  </sheetViews>
  <sheetFormatPr defaultRowHeight="14.5"/>
  <cols>
    <col min="2" max="2" width="11" bestFit="1" customWidth="1"/>
    <col min="3" max="3" width="22.26953125" customWidth="1"/>
    <col min="4" max="4" width="12" hidden="1" customWidth="1"/>
    <col min="6" max="6" width="14.81640625" customWidth="1"/>
    <col min="7" max="7" width="23.453125" customWidth="1"/>
    <col min="9" max="9" width="23.54296875" style="1" hidden="1" customWidth="1"/>
    <col min="10" max="10" width="12" hidden="1" customWidth="1"/>
    <col min="11" max="11" width="14.453125" style="11" customWidth="1"/>
  </cols>
  <sheetData>
    <row r="1" spans="2:11">
      <c r="B1" t="s">
        <v>0</v>
      </c>
    </row>
    <row r="2" spans="2:11">
      <c r="C2" s="9" t="s">
        <v>24</v>
      </c>
      <c r="D2" s="1"/>
      <c r="G2" s="1"/>
    </row>
    <row r="3" spans="2:11">
      <c r="C3" s="10" t="s">
        <v>23</v>
      </c>
      <c r="D3" s="1"/>
      <c r="G3" s="1"/>
    </row>
    <row r="4" spans="2:11" ht="15" thickBot="1">
      <c r="C4" s="1"/>
      <c r="D4" s="1"/>
      <c r="G4" s="1"/>
    </row>
    <row r="5" spans="2:11" ht="15" thickBot="1">
      <c r="B5" s="50" t="s">
        <v>10</v>
      </c>
      <c r="C5" s="51"/>
      <c r="D5" s="51"/>
      <c r="E5" s="51"/>
      <c r="F5" s="51"/>
      <c r="G5" s="52"/>
      <c r="K5" s="12" t="s">
        <v>92</v>
      </c>
    </row>
    <row r="6" spans="2:11">
      <c r="B6" s="49" t="s">
        <v>8</v>
      </c>
      <c r="C6" s="49"/>
      <c r="D6" s="2"/>
      <c r="F6" s="49" t="s">
        <v>9</v>
      </c>
      <c r="G6" s="49"/>
      <c r="I6" s="4"/>
      <c r="J6" s="4" t="s">
        <v>12</v>
      </c>
    </row>
    <row r="7" spans="2:11">
      <c r="B7" s="7">
        <v>2</v>
      </c>
      <c r="C7" s="8" t="s">
        <v>159</v>
      </c>
      <c r="D7" s="1">
        <f>VLOOKUP(C7,I7:J15,2,0)</f>
        <v>907.18474000000003</v>
      </c>
      <c r="F7" s="3">
        <f>D7/1000000</f>
        <v>9.0718474000000009E-4</v>
      </c>
      <c r="G7" s="4" t="s">
        <v>17</v>
      </c>
      <c r="I7" s="4" t="s">
        <v>17</v>
      </c>
      <c r="J7" s="4">
        <f>B7*1000000</f>
        <v>2000000</v>
      </c>
      <c r="K7" s="13" t="s">
        <v>130</v>
      </c>
    </row>
    <row r="8" spans="2:11">
      <c r="C8" s="1"/>
      <c r="D8" s="1"/>
      <c r="F8" s="3">
        <f>D7/1000</f>
        <v>0.90718474000000004</v>
      </c>
      <c r="G8" s="4" t="s">
        <v>11</v>
      </c>
      <c r="I8" s="4" t="s">
        <v>11</v>
      </c>
      <c r="J8" s="3">
        <f>B7*1000</f>
        <v>2000</v>
      </c>
    </row>
    <row r="9" spans="2:11">
      <c r="C9" s="1"/>
      <c r="D9" s="1"/>
      <c r="F9" s="3">
        <f>D7</f>
        <v>907.18474000000003</v>
      </c>
      <c r="G9" s="4" t="s">
        <v>12</v>
      </c>
      <c r="I9" s="4" t="s">
        <v>12</v>
      </c>
      <c r="J9" s="3">
        <f>B7</f>
        <v>2</v>
      </c>
    </row>
    <row r="10" spans="2:11">
      <c r="C10" s="1"/>
      <c r="D10" s="1"/>
      <c r="F10" s="3">
        <f>D7*1000</f>
        <v>907184.74</v>
      </c>
      <c r="G10" s="4" t="s">
        <v>13</v>
      </c>
      <c r="I10" s="4" t="s">
        <v>13</v>
      </c>
      <c r="J10" s="3">
        <f>B7/1000</f>
        <v>2E-3</v>
      </c>
    </row>
    <row r="11" spans="2:11">
      <c r="C11" s="1"/>
      <c r="D11" s="1"/>
      <c r="F11" s="3">
        <f>CONVERT(D7,"g","lbm")</f>
        <v>2</v>
      </c>
      <c r="G11" s="5" t="s">
        <v>14</v>
      </c>
      <c r="I11" s="5" t="s">
        <v>159</v>
      </c>
      <c r="J11" s="3">
        <f>CONVERT(B7,"lbm","g")</f>
        <v>907.18474000000003</v>
      </c>
    </row>
    <row r="12" spans="2:11">
      <c r="C12" s="1"/>
      <c r="D12" s="1"/>
      <c r="F12" s="3">
        <f>CONVERT(D7,"g","ozm")</f>
        <v>32</v>
      </c>
      <c r="G12" s="4" t="s">
        <v>15</v>
      </c>
      <c r="I12" s="4" t="s">
        <v>15</v>
      </c>
      <c r="J12" s="3">
        <f>CONVERT(B7,"ozm","g")</f>
        <v>56.699046250000002</v>
      </c>
    </row>
    <row r="13" spans="2:11">
      <c r="C13" s="1"/>
      <c r="D13" s="1"/>
      <c r="F13" s="3">
        <f>CONVERT(D7,"g","lbm")/2240</f>
        <v>8.9285714285714283E-4</v>
      </c>
      <c r="G13" s="6" t="s">
        <v>161</v>
      </c>
      <c r="I13" s="6" t="s">
        <v>161</v>
      </c>
      <c r="J13" s="3">
        <f>CONVERT(B7,"lbm","g")*2240</f>
        <v>2032093.8176000002</v>
      </c>
    </row>
    <row r="14" spans="2:11">
      <c r="C14" s="1"/>
      <c r="D14" s="1"/>
      <c r="F14" s="3">
        <f>CONVERT(D7,"g","lbm")/2000</f>
        <v>1E-3</v>
      </c>
      <c r="G14" s="6" t="s">
        <v>162</v>
      </c>
      <c r="I14" s="6" t="s">
        <v>162</v>
      </c>
      <c r="J14" s="3">
        <f>CONVERT(B7,"lbm","g")*2000</f>
        <v>1814369.48</v>
      </c>
    </row>
    <row r="15" spans="2:11">
      <c r="C15" s="1"/>
      <c r="D15" s="1"/>
      <c r="F15" s="3">
        <f>CONVERT(D7,"g","lbm")*7000</f>
        <v>14000</v>
      </c>
      <c r="G15" s="4" t="s">
        <v>16</v>
      </c>
      <c r="I15" s="4" t="s">
        <v>16</v>
      </c>
      <c r="J15" s="3">
        <f>CONVERT(B7,"lbm","g")/7000</f>
        <v>0.12959782</v>
      </c>
    </row>
    <row r="17" spans="2:10">
      <c r="B17" s="49" t="s">
        <v>8</v>
      </c>
      <c r="C17" s="49"/>
      <c r="D17" s="2"/>
      <c r="F17" s="49" t="s">
        <v>9</v>
      </c>
      <c r="G17" s="49"/>
      <c r="I17" s="4"/>
      <c r="J17" s="4" t="s">
        <v>12</v>
      </c>
    </row>
    <row r="18" spans="2:10">
      <c r="B18" s="7">
        <v>456</v>
      </c>
      <c r="C18" s="8" t="s">
        <v>11</v>
      </c>
      <c r="D18" s="1">
        <f>VLOOKUP(C18,I18:J26,2,0)</f>
        <v>456000</v>
      </c>
      <c r="F18" s="3">
        <f>D18/1000000</f>
        <v>0.45600000000000002</v>
      </c>
      <c r="G18" s="4" t="s">
        <v>17</v>
      </c>
      <c r="I18" s="4" t="s">
        <v>17</v>
      </c>
      <c r="J18" s="4">
        <f>B18*1000000</f>
        <v>456000000</v>
      </c>
    </row>
    <row r="19" spans="2:10">
      <c r="C19" s="1"/>
      <c r="D19" s="1"/>
      <c r="F19" s="3">
        <f>D18/1000</f>
        <v>456</v>
      </c>
      <c r="G19" s="4" t="s">
        <v>11</v>
      </c>
      <c r="I19" s="4" t="s">
        <v>11</v>
      </c>
      <c r="J19" s="3">
        <f>B18*1000</f>
        <v>456000</v>
      </c>
    </row>
    <row r="20" spans="2:10">
      <c r="C20" s="1"/>
      <c r="D20" s="1"/>
      <c r="F20" s="3">
        <f>D18</f>
        <v>456000</v>
      </c>
      <c r="G20" s="4" t="s">
        <v>12</v>
      </c>
      <c r="I20" s="4" t="s">
        <v>12</v>
      </c>
      <c r="J20" s="3">
        <f>B18</f>
        <v>456</v>
      </c>
    </row>
    <row r="21" spans="2:10">
      <c r="C21" s="1"/>
      <c r="D21" s="1"/>
      <c r="F21" s="3">
        <f>D18*1000</f>
        <v>456000000</v>
      </c>
      <c r="G21" s="4" t="s">
        <v>13</v>
      </c>
      <c r="I21" s="4" t="s">
        <v>13</v>
      </c>
      <c r="J21" s="3">
        <f>B18/1000</f>
        <v>0.45600000000000002</v>
      </c>
    </row>
    <row r="22" spans="2:10">
      <c r="C22" s="1"/>
      <c r="D22" s="1"/>
      <c r="F22" s="3">
        <f>CONVERT(D18,"g","lbm")</f>
        <v>1005.3079155630418</v>
      </c>
      <c r="G22" s="5" t="s">
        <v>159</v>
      </c>
      <c r="I22" s="5" t="s">
        <v>159</v>
      </c>
      <c r="J22" s="3">
        <f>CONVERT(B18,"lbm","g")</f>
        <v>206838.12072000001</v>
      </c>
    </row>
    <row r="23" spans="2:10">
      <c r="C23" s="1"/>
      <c r="D23" s="1"/>
      <c r="F23" s="3">
        <f>CONVERT(D18,"g","ozm")</f>
        <v>16084.926649008668</v>
      </c>
      <c r="G23" s="4" t="s">
        <v>15</v>
      </c>
      <c r="I23" s="4" t="s">
        <v>15</v>
      </c>
      <c r="J23" s="3">
        <f>CONVERT(B18,"ozm","g")</f>
        <v>12927.382545</v>
      </c>
    </row>
    <row r="24" spans="2:10">
      <c r="C24" s="1"/>
      <c r="D24" s="1"/>
      <c r="F24" s="3">
        <f>CONVERT(D18,"g","lbm")/2240</f>
        <v>0.44879817659064364</v>
      </c>
      <c r="G24" s="6" t="s">
        <v>161</v>
      </c>
      <c r="I24" s="6" t="s">
        <v>161</v>
      </c>
      <c r="J24" s="3">
        <f>CONVERT(B18,"lbm","g")*2240</f>
        <v>463317390.41280001</v>
      </c>
    </row>
    <row r="25" spans="2:10">
      <c r="C25" s="1"/>
      <c r="D25" s="1"/>
      <c r="F25" s="3">
        <f>CONVERT(D18,"g","lbm")/2000</f>
        <v>0.50265395778152089</v>
      </c>
      <c r="G25" s="6" t="s">
        <v>162</v>
      </c>
      <c r="I25" s="6" t="s">
        <v>162</v>
      </c>
      <c r="J25" s="3">
        <f>CONVERT(B18,"lbm","g")*2000</f>
        <v>413676241.44</v>
      </c>
    </row>
    <row r="26" spans="2:10">
      <c r="C26" s="1"/>
      <c r="D26" s="1"/>
      <c r="F26" s="3">
        <f>CONVERT(D18,"g","lbm")*7000</f>
        <v>7037155.4089412922</v>
      </c>
      <c r="G26" s="4" t="s">
        <v>16</v>
      </c>
      <c r="I26" s="4" t="s">
        <v>16</v>
      </c>
      <c r="J26" s="3">
        <f>CONVERT(B18,"lbm","g")/7000</f>
        <v>29.548302960000001</v>
      </c>
    </row>
  </sheetData>
  <sheetProtection sheet="1" objects="1" scenarios="1"/>
  <mergeCells count="5">
    <mergeCell ref="B6:C6"/>
    <mergeCell ref="F6:G6"/>
    <mergeCell ref="B5:G5"/>
    <mergeCell ref="B17:C17"/>
    <mergeCell ref="F17:G17"/>
  </mergeCells>
  <dataValidations count="1">
    <dataValidation type="list" allowBlank="1" showInputMessage="1" showErrorMessage="1" sqref="C7 C18" xr:uid="{00000000-0002-0000-0100-000000000000}">
      <formula1>$I$7:$I$15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7"/>
  <sheetViews>
    <sheetView workbookViewId="0">
      <selection activeCell="M13" sqref="M13"/>
    </sheetView>
  </sheetViews>
  <sheetFormatPr defaultRowHeight="14.5"/>
  <cols>
    <col min="2" max="2" width="13.81640625" bestFit="1" customWidth="1"/>
    <col min="3" max="3" width="11.54296875" bestFit="1" customWidth="1"/>
    <col min="4" max="4" width="11" hidden="1" customWidth="1"/>
    <col min="6" max="6" width="15.7265625" customWidth="1"/>
    <col min="7" max="7" width="17.54296875" bestFit="1" customWidth="1"/>
    <col min="9" max="9" width="17.54296875" hidden="1" customWidth="1"/>
    <col min="10" max="10" width="12" hidden="1" customWidth="1"/>
    <col min="11" max="11" width="23.81640625" style="11" customWidth="1"/>
  </cols>
  <sheetData>
    <row r="1" spans="2:11">
      <c r="B1" t="s">
        <v>0</v>
      </c>
      <c r="I1" s="1"/>
    </row>
    <row r="2" spans="2:11">
      <c r="C2" s="9" t="s">
        <v>24</v>
      </c>
      <c r="D2" s="1"/>
      <c r="G2" s="1"/>
      <c r="I2" s="1"/>
    </row>
    <row r="3" spans="2:11">
      <c r="C3" s="10" t="s">
        <v>23</v>
      </c>
      <c r="D3" s="1"/>
      <c r="G3" s="1"/>
      <c r="I3" s="1"/>
    </row>
    <row r="4" spans="2:11" ht="15" thickBot="1">
      <c r="C4" s="1"/>
      <c r="D4" s="1"/>
      <c r="G4" s="1"/>
      <c r="I4" s="1"/>
    </row>
    <row r="5" spans="2:11" ht="15" thickBot="1">
      <c r="B5" s="50" t="s">
        <v>25</v>
      </c>
      <c r="C5" s="51"/>
      <c r="D5" s="51"/>
      <c r="E5" s="51"/>
      <c r="F5" s="51"/>
      <c r="G5" s="52"/>
      <c r="I5" s="1"/>
      <c r="K5" s="12" t="s">
        <v>92</v>
      </c>
    </row>
    <row r="6" spans="2:11">
      <c r="B6" s="49" t="s">
        <v>8</v>
      </c>
      <c r="C6" s="49"/>
      <c r="D6" s="2"/>
      <c r="F6" s="53" t="s">
        <v>9</v>
      </c>
      <c r="G6" s="53"/>
      <c r="I6" s="1"/>
      <c r="J6" s="1" t="s">
        <v>26</v>
      </c>
    </row>
    <row r="7" spans="2:11">
      <c r="B7" s="7">
        <v>123</v>
      </c>
      <c r="C7" s="8" t="s">
        <v>27</v>
      </c>
      <c r="D7" s="1">
        <f>VLOOKUP(C7,I7:J14,2,0)</f>
        <v>11.427073920000002</v>
      </c>
      <c r="F7" s="3">
        <f>D7</f>
        <v>11.427073920000002</v>
      </c>
      <c r="G7" s="4" t="s">
        <v>26</v>
      </c>
      <c r="I7" s="4" t="s">
        <v>26</v>
      </c>
      <c r="J7" s="4">
        <f>B7</f>
        <v>123</v>
      </c>
    </row>
    <row r="8" spans="2:11">
      <c r="C8" s="1"/>
      <c r="D8" s="1"/>
      <c r="F8" s="3">
        <f>D7*(CONVERT(1,"m","in"))^2</f>
        <v>17712.000000000004</v>
      </c>
      <c r="G8" s="4" t="s">
        <v>33</v>
      </c>
      <c r="I8" s="4" t="s">
        <v>33</v>
      </c>
      <c r="J8" s="3">
        <f>B7*(CONVERT(1,"in","m"))^2</f>
        <v>7.9354679999999997E-2</v>
      </c>
    </row>
    <row r="9" spans="2:11">
      <c r="C9" s="1"/>
      <c r="D9" s="1"/>
      <c r="F9" s="3">
        <f>D7*(CONVERT(1,"m","ft"))^2</f>
        <v>123.00000000000003</v>
      </c>
      <c r="G9" s="4" t="s">
        <v>27</v>
      </c>
      <c r="I9" s="4" t="s">
        <v>27</v>
      </c>
      <c r="J9" s="3">
        <f>B7*(CONVERT(1,"ft","m"))^2</f>
        <v>11.427073920000002</v>
      </c>
    </row>
    <row r="10" spans="2:11">
      <c r="C10" s="1"/>
      <c r="D10" s="1"/>
      <c r="F10" s="3">
        <f>D7*(CONVERT(1,"m","yd"))^2</f>
        <v>13.66666666666667</v>
      </c>
      <c r="G10" s="4" t="s">
        <v>28</v>
      </c>
      <c r="I10" s="4" t="s">
        <v>28</v>
      </c>
      <c r="J10" s="3">
        <f>B7*(CONVERT(1,"yd","m"))^2</f>
        <v>102.84366528</v>
      </c>
    </row>
    <row r="11" spans="2:11">
      <c r="C11" s="1"/>
      <c r="D11" s="1"/>
      <c r="F11" s="3">
        <f>D7/4046.8564224</f>
        <v>2.8236914600550966E-3</v>
      </c>
      <c r="G11" s="4" t="s">
        <v>29</v>
      </c>
      <c r="I11" s="4" t="s">
        <v>29</v>
      </c>
      <c r="J11" s="3">
        <f>B7*4046.8564224</f>
        <v>497763.33995520003</v>
      </c>
    </row>
    <row r="12" spans="2:11">
      <c r="C12" s="1"/>
      <c r="D12" s="1"/>
      <c r="F12" s="3">
        <f>D7/100</f>
        <v>0.11427073920000001</v>
      </c>
      <c r="G12" s="5" t="s">
        <v>30</v>
      </c>
      <c r="I12" s="5" t="s">
        <v>30</v>
      </c>
      <c r="J12" s="3">
        <f>B7*100</f>
        <v>12300</v>
      </c>
    </row>
    <row r="13" spans="2:11">
      <c r="C13" s="1"/>
      <c r="D13" s="1"/>
      <c r="F13" s="3">
        <f>D7/10000</f>
        <v>1.1427073920000001E-3</v>
      </c>
      <c r="G13" s="4" t="s">
        <v>31</v>
      </c>
      <c r="I13" s="4" t="s">
        <v>31</v>
      </c>
      <c r="J13" s="3">
        <f>B7*10000</f>
        <v>1230000</v>
      </c>
    </row>
    <row r="14" spans="2:11">
      <c r="C14" s="1"/>
      <c r="D14" s="1"/>
      <c r="F14" s="3">
        <f>D7*0.3025</f>
        <v>3.4566898608000005</v>
      </c>
      <c r="G14" s="6" t="s">
        <v>32</v>
      </c>
      <c r="I14" s="6" t="s">
        <v>32</v>
      </c>
      <c r="J14" s="3">
        <f>B7/0.3025</f>
        <v>406.61157024793391</v>
      </c>
    </row>
    <row r="15" spans="2:11">
      <c r="C15" s="1"/>
      <c r="D15" s="1"/>
      <c r="G15" s="14"/>
      <c r="I15" s="14"/>
    </row>
    <row r="16" spans="2:11">
      <c r="B16" s="49" t="s">
        <v>8</v>
      </c>
      <c r="C16" s="49"/>
      <c r="D16" s="2"/>
      <c r="F16" s="53" t="s">
        <v>9</v>
      </c>
      <c r="G16" s="53"/>
      <c r="I16" s="1"/>
      <c r="J16" s="1" t="s">
        <v>26</v>
      </c>
    </row>
    <row r="17" spans="2:10">
      <c r="B17" s="7">
        <v>31</v>
      </c>
      <c r="C17" s="8" t="s">
        <v>34</v>
      </c>
      <c r="D17" s="1">
        <f>VLOOKUP(C17,I17:J24,2,0)</f>
        <v>31</v>
      </c>
      <c r="F17" s="3">
        <f>D17</f>
        <v>31</v>
      </c>
      <c r="G17" s="4" t="s">
        <v>26</v>
      </c>
      <c r="I17" s="4" t="s">
        <v>26</v>
      </c>
      <c r="J17" s="4">
        <f>B17</f>
        <v>31</v>
      </c>
    </row>
    <row r="18" spans="2:10">
      <c r="C18" s="1"/>
      <c r="D18" s="1"/>
      <c r="F18" s="3">
        <f>D17*(CONVERT(1,"m","in"))^2</f>
        <v>48050.096100192204</v>
      </c>
      <c r="G18" s="4" t="s">
        <v>33</v>
      </c>
      <c r="I18" s="4" t="s">
        <v>33</v>
      </c>
      <c r="J18" s="3">
        <f>B17*(CONVERT(1,"in","m"))^2</f>
        <v>1.9999960000000001E-2</v>
      </c>
    </row>
    <row r="19" spans="2:10">
      <c r="C19" s="1"/>
      <c r="D19" s="1"/>
      <c r="F19" s="3">
        <f>D17*(CONVERT(1,"m","ft"))^2</f>
        <v>333.68122291800142</v>
      </c>
      <c r="G19" s="4" t="s">
        <v>27</v>
      </c>
      <c r="I19" s="4" t="s">
        <v>27</v>
      </c>
      <c r="J19" s="3">
        <f>B17*(CONVERT(1,"ft","m"))^2</f>
        <v>2.8799942400000003</v>
      </c>
    </row>
    <row r="20" spans="2:10">
      <c r="C20" s="1"/>
      <c r="D20" s="1"/>
      <c r="F20" s="3">
        <f>D17*(CONVERT(1,"m","yd"))^2</f>
        <v>37.075691435333496</v>
      </c>
      <c r="G20" s="4" t="s">
        <v>28</v>
      </c>
      <c r="I20" s="4" t="s">
        <v>28</v>
      </c>
      <c r="J20" s="3">
        <f>B17*(CONVERT(1,"yd","m"))^2</f>
        <v>25.919948160000001</v>
      </c>
    </row>
    <row r="21" spans="2:10">
      <c r="C21" s="1"/>
      <c r="D21" s="1"/>
      <c r="F21" s="3">
        <f>D17/4046.8564224</f>
        <v>7.6602668254821251E-3</v>
      </c>
      <c r="G21" s="4" t="s">
        <v>29</v>
      </c>
      <c r="I21" s="4" t="s">
        <v>29</v>
      </c>
      <c r="J21" s="3">
        <f>B17*4046.8564224</f>
        <v>125452.5490944</v>
      </c>
    </row>
    <row r="22" spans="2:10">
      <c r="C22" s="1"/>
      <c r="D22" s="1"/>
      <c r="F22" s="3">
        <f>D17/100</f>
        <v>0.31</v>
      </c>
      <c r="G22" s="5" t="s">
        <v>30</v>
      </c>
      <c r="I22" s="5" t="s">
        <v>30</v>
      </c>
      <c r="J22" s="3">
        <f>B17*100</f>
        <v>3100</v>
      </c>
    </row>
    <row r="23" spans="2:10">
      <c r="C23" s="1"/>
      <c r="D23" s="1"/>
      <c r="F23" s="3">
        <f>D17/10000</f>
        <v>3.0999999999999999E-3</v>
      </c>
      <c r="G23" s="4" t="s">
        <v>31</v>
      </c>
      <c r="I23" s="4" t="s">
        <v>31</v>
      </c>
      <c r="J23" s="3">
        <f>B17*10000</f>
        <v>310000</v>
      </c>
    </row>
    <row r="24" spans="2:10">
      <c r="C24" s="1"/>
      <c r="D24" s="1"/>
      <c r="F24" s="3">
        <f>D17*0.3025</f>
        <v>9.3774999999999995</v>
      </c>
      <c r="G24" s="6" t="s">
        <v>32</v>
      </c>
      <c r="I24" s="6" t="s">
        <v>32</v>
      </c>
      <c r="J24" s="3">
        <f>B17/0.3025</f>
        <v>102.47933884297521</v>
      </c>
    </row>
    <row r="25" spans="2:10">
      <c r="I25" s="1"/>
    </row>
    <row r="26" spans="2:10">
      <c r="I26" s="1"/>
    </row>
    <row r="27" spans="2:10">
      <c r="I27" s="1"/>
    </row>
  </sheetData>
  <sheetProtection sheet="1" objects="1" scenarios="1"/>
  <mergeCells count="5">
    <mergeCell ref="B16:C16"/>
    <mergeCell ref="F16:G16"/>
    <mergeCell ref="B5:G5"/>
    <mergeCell ref="B6:C6"/>
    <mergeCell ref="F6:G6"/>
  </mergeCells>
  <dataValidations count="1">
    <dataValidation type="list" allowBlank="1" showInputMessage="1" showErrorMessage="1" sqref="C7 C17" xr:uid="{00000000-0002-0000-0200-000000000000}">
      <formula1>$I$7:$I$14</formula1>
    </dataValidation>
  </dataValidations>
  <pageMargins left="0.7" right="0.7" top="0.75" bottom="0.75" header="0.3" footer="0.3"/>
  <ignoredErrors>
    <ignoredError sqref="F10 J1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9"/>
  <sheetViews>
    <sheetView workbookViewId="0">
      <selection activeCell="I12" sqref="I12"/>
    </sheetView>
  </sheetViews>
  <sheetFormatPr defaultRowHeight="14.5"/>
  <cols>
    <col min="2" max="2" width="13.81640625" bestFit="1" customWidth="1"/>
    <col min="3" max="3" width="14.453125" bestFit="1" customWidth="1"/>
    <col min="4" max="4" width="11" hidden="1" customWidth="1"/>
    <col min="6" max="6" width="12" bestFit="1" customWidth="1"/>
    <col min="7" max="7" width="17.54296875" bestFit="1" customWidth="1"/>
    <col min="9" max="9" width="14.453125" hidden="1" customWidth="1"/>
    <col min="10" max="10" width="12" hidden="1" customWidth="1"/>
    <col min="11" max="11" width="14.81640625" style="11" customWidth="1"/>
  </cols>
  <sheetData>
    <row r="1" spans="2:11">
      <c r="B1" t="s">
        <v>0</v>
      </c>
      <c r="I1" s="1"/>
    </row>
    <row r="2" spans="2:11">
      <c r="C2" s="9" t="s">
        <v>24</v>
      </c>
      <c r="D2" s="1"/>
      <c r="G2" s="1"/>
      <c r="I2" s="1"/>
    </row>
    <row r="3" spans="2:11">
      <c r="C3" s="10" t="s">
        <v>23</v>
      </c>
      <c r="D3" s="1"/>
      <c r="G3" s="1"/>
      <c r="I3" s="1"/>
    </row>
    <row r="4" spans="2:11" ht="15" thickBot="1">
      <c r="C4" s="1"/>
      <c r="D4" s="1"/>
      <c r="G4" s="1"/>
      <c r="I4" s="1"/>
    </row>
    <row r="5" spans="2:11" ht="15" thickBot="1">
      <c r="B5" s="50" t="s">
        <v>35</v>
      </c>
      <c r="C5" s="51"/>
      <c r="D5" s="51"/>
      <c r="E5" s="51"/>
      <c r="F5" s="51"/>
      <c r="G5" s="52"/>
      <c r="I5" s="1"/>
      <c r="K5" s="12" t="s">
        <v>92</v>
      </c>
    </row>
    <row r="6" spans="2:11">
      <c r="B6" s="49" t="s">
        <v>8</v>
      </c>
      <c r="C6" s="49"/>
      <c r="D6" s="2"/>
      <c r="F6" s="49" t="s">
        <v>9</v>
      </c>
      <c r="G6" s="49"/>
      <c r="I6" s="4"/>
      <c r="J6" s="4" t="s">
        <v>38</v>
      </c>
    </row>
    <row r="7" spans="2:11">
      <c r="B7" s="7">
        <v>1</v>
      </c>
      <c r="C7" s="8" t="s">
        <v>37</v>
      </c>
      <c r="D7" s="1">
        <f>VLOOKUP(C7,I7:J21,2,0)</f>
        <v>3.7854117839999997E-3</v>
      </c>
      <c r="F7" s="3">
        <f>D7</f>
        <v>3.7854117839999997E-3</v>
      </c>
      <c r="G7" s="4" t="s">
        <v>38</v>
      </c>
      <c r="I7" s="4" t="s">
        <v>38</v>
      </c>
      <c r="J7" s="4">
        <f>B7</f>
        <v>1</v>
      </c>
      <c r="K7" s="13" t="s">
        <v>131</v>
      </c>
    </row>
    <row r="8" spans="2:11">
      <c r="C8" s="1"/>
      <c r="D8" s="1"/>
      <c r="F8" s="3">
        <f>D7*1000000000</f>
        <v>3785411.7839999995</v>
      </c>
      <c r="G8" s="4" t="s">
        <v>39</v>
      </c>
      <c r="I8" s="4" t="s">
        <v>39</v>
      </c>
      <c r="J8" s="3">
        <f>B7/1000000000</f>
        <v>1.0000000000000001E-9</v>
      </c>
    </row>
    <row r="9" spans="2:11">
      <c r="C9" s="1"/>
      <c r="D9" s="1"/>
      <c r="F9" s="3">
        <f>D7*(CONVERT(1,"m","in")^3)</f>
        <v>231</v>
      </c>
      <c r="G9" s="4" t="s">
        <v>40</v>
      </c>
      <c r="I9" s="4" t="s">
        <v>40</v>
      </c>
      <c r="J9" s="3">
        <f>B7*(CONVERT(1,"in","m")^3)</f>
        <v>1.6387063999999999E-5</v>
      </c>
    </row>
    <row r="10" spans="2:11">
      <c r="C10" s="1"/>
      <c r="D10" s="1"/>
      <c r="F10" s="3">
        <f>D7*(CONVERT(1,"m","ft")^3)</f>
        <v>0.13368055555555555</v>
      </c>
      <c r="G10" s="4" t="s">
        <v>41</v>
      </c>
      <c r="I10" s="4" t="s">
        <v>41</v>
      </c>
      <c r="J10" s="3">
        <f>B7*(CONVERT(1,"ft","m")^3)</f>
        <v>2.8316846592000004E-2</v>
      </c>
    </row>
    <row r="11" spans="2:11">
      <c r="C11" s="1"/>
      <c r="D11" s="1"/>
      <c r="F11" s="3">
        <f>D7*(CONVERT(1,"m","yd")^3)</f>
        <v>4.9511316872427984E-3</v>
      </c>
      <c r="G11" s="5" t="s">
        <v>42</v>
      </c>
      <c r="I11" s="5" t="s">
        <v>42</v>
      </c>
      <c r="J11" s="3">
        <f>B7*(CONVERT(1,"yd","m")^3)</f>
        <v>0.76455485798400002</v>
      </c>
    </row>
    <row r="12" spans="2:11">
      <c r="C12" s="1"/>
      <c r="D12" s="1"/>
      <c r="F12" s="3">
        <f>D7*1000</f>
        <v>3.7854117839999999</v>
      </c>
      <c r="G12" s="4" t="s">
        <v>36</v>
      </c>
      <c r="I12" s="4" t="s">
        <v>36</v>
      </c>
      <c r="J12" s="3">
        <f>B7/1000</f>
        <v>1E-3</v>
      </c>
    </row>
    <row r="13" spans="2:11">
      <c r="C13" s="1"/>
      <c r="D13" s="1"/>
      <c r="F13" s="3">
        <f>D7*1000000</f>
        <v>3785.4117839999999</v>
      </c>
      <c r="G13" s="6" t="s">
        <v>43</v>
      </c>
      <c r="I13" s="6" t="s">
        <v>43</v>
      </c>
      <c r="J13" s="3">
        <f>B7/1000000</f>
        <v>9.9999999999999995E-7</v>
      </c>
    </row>
    <row r="14" spans="2:11">
      <c r="C14" s="1"/>
      <c r="D14" s="1"/>
      <c r="E14" s="54" t="s">
        <v>48</v>
      </c>
      <c r="F14" s="15">
        <f>D7/0.158987294928</f>
        <v>2.3809523809523805E-2</v>
      </c>
      <c r="G14" s="6" t="s">
        <v>52</v>
      </c>
      <c r="I14" s="6" t="s">
        <v>52</v>
      </c>
      <c r="J14" s="3">
        <f>B7*0.158987294928</f>
        <v>0.15898729492800001</v>
      </c>
    </row>
    <row r="15" spans="2:11">
      <c r="C15" s="1"/>
      <c r="D15" s="1"/>
      <c r="E15" s="55"/>
      <c r="F15" s="15">
        <f>CONVERT(D7,"l","gal")*1000</f>
        <v>1</v>
      </c>
      <c r="G15" s="6" t="s">
        <v>37</v>
      </c>
      <c r="I15" s="6" t="s">
        <v>37</v>
      </c>
      <c r="J15" s="3">
        <f>CONVERT(B7,"gal","l")/1000</f>
        <v>3.7854117839999997E-3</v>
      </c>
    </row>
    <row r="16" spans="2:11">
      <c r="C16" s="1"/>
      <c r="D16" s="1"/>
      <c r="E16" s="55"/>
      <c r="F16" s="15">
        <f>CONVERT(D7,"l","oz")*1000</f>
        <v>128</v>
      </c>
      <c r="G16" s="6" t="s">
        <v>47</v>
      </c>
      <c r="I16" s="6" t="s">
        <v>47</v>
      </c>
      <c r="J16" s="3">
        <f>CONVERT(B7,"oz","l")/1000</f>
        <v>2.9573529562499998E-5</v>
      </c>
    </row>
    <row r="17" spans="2:10">
      <c r="C17" s="1"/>
      <c r="D17" s="1"/>
      <c r="E17" s="55"/>
      <c r="F17" s="15">
        <f>CONVERT(D7,"l","us_pt")*1000</f>
        <v>8</v>
      </c>
      <c r="G17" s="6" t="s">
        <v>50</v>
      </c>
      <c r="I17" s="6" t="s">
        <v>50</v>
      </c>
      <c r="J17" s="3">
        <f>CONVERT(B7,"us_pt","l")/1000</f>
        <v>4.7317647299999996E-4</v>
      </c>
    </row>
    <row r="18" spans="2:10">
      <c r="C18" s="1"/>
      <c r="D18" s="1"/>
      <c r="E18" s="56"/>
      <c r="F18" s="15">
        <f>D7/550.6104713575*1000000</f>
        <v>6.874936059002426</v>
      </c>
      <c r="G18" s="6" t="s">
        <v>51</v>
      </c>
      <c r="I18" s="6" t="s">
        <v>51</v>
      </c>
      <c r="J18" s="3">
        <f>B7*550.6104713575/1000000</f>
        <v>5.506104713575E-4</v>
      </c>
    </row>
    <row r="19" spans="2:10">
      <c r="C19" s="1"/>
      <c r="D19" s="1"/>
      <c r="E19" s="54" t="s">
        <v>49</v>
      </c>
      <c r="F19" s="3">
        <f>D7*1000/1.8</f>
        <v>2.1030065466666668</v>
      </c>
      <c r="G19" s="6" t="s">
        <v>44</v>
      </c>
      <c r="I19" s="6" t="s">
        <v>44</v>
      </c>
      <c r="J19" s="3">
        <f>B7/1000*1.8</f>
        <v>1.8000000000000002E-3</v>
      </c>
    </row>
    <row r="20" spans="2:10">
      <c r="C20" s="1"/>
      <c r="D20" s="1"/>
      <c r="E20" s="56"/>
      <c r="F20" s="3">
        <f>D7*10000/1.8</f>
        <v>21.030065466666667</v>
      </c>
      <c r="G20" s="6" t="s">
        <v>45</v>
      </c>
      <c r="I20" s="6" t="s">
        <v>45</v>
      </c>
      <c r="J20" s="3">
        <f>B7/10000*1.8</f>
        <v>1.8000000000000001E-4</v>
      </c>
    </row>
    <row r="21" spans="2:10">
      <c r="C21" s="1"/>
      <c r="D21" s="1"/>
      <c r="E21" s="16" t="s">
        <v>53</v>
      </c>
      <c r="F21" s="3">
        <f>CONVERT(D7,"l","uk_pt")*1000</f>
        <v>6.6613934770319094</v>
      </c>
      <c r="G21" s="6" t="s">
        <v>46</v>
      </c>
      <c r="I21" s="6" t="s">
        <v>46</v>
      </c>
      <c r="J21" s="3">
        <f>CONVERT(B7,"uk_pt","l")/1000</f>
        <v>5.6826125E-4</v>
      </c>
    </row>
    <row r="22" spans="2:10">
      <c r="C22" s="1"/>
      <c r="D22" s="1"/>
      <c r="G22" s="14"/>
      <c r="I22" s="14"/>
    </row>
    <row r="23" spans="2:10">
      <c r="I23" s="1"/>
    </row>
    <row r="24" spans="2:10">
      <c r="B24" s="49" t="s">
        <v>8</v>
      </c>
      <c r="C24" s="49"/>
      <c r="D24" s="2"/>
      <c r="F24" s="49" t="s">
        <v>9</v>
      </c>
      <c r="G24" s="49"/>
      <c r="I24" s="4"/>
      <c r="J24" s="4" t="s">
        <v>38</v>
      </c>
    </row>
    <row r="25" spans="2:10">
      <c r="B25" s="7">
        <v>12</v>
      </c>
      <c r="C25" s="8" t="s">
        <v>47</v>
      </c>
      <c r="D25" s="1">
        <f>VLOOKUP(C25,I25:J39,2,0)</f>
        <v>3.5488235474999999E-4</v>
      </c>
      <c r="F25" s="3">
        <f>D25</f>
        <v>3.5488235474999999E-4</v>
      </c>
      <c r="G25" s="4" t="s">
        <v>38</v>
      </c>
      <c r="I25" s="4" t="s">
        <v>38</v>
      </c>
      <c r="J25" s="4">
        <f>B25</f>
        <v>12</v>
      </c>
    </row>
    <row r="26" spans="2:10">
      <c r="C26" s="1"/>
      <c r="D26" s="1"/>
      <c r="F26" s="3">
        <f>D25*1000000000</f>
        <v>354882.35475</v>
      </c>
      <c r="G26" s="4" t="s">
        <v>39</v>
      </c>
      <c r="I26" s="4" t="s">
        <v>39</v>
      </c>
      <c r="J26" s="3">
        <f>B25/1000000000</f>
        <v>1.2E-8</v>
      </c>
    </row>
    <row r="27" spans="2:10">
      <c r="C27" s="1"/>
      <c r="D27" s="1"/>
      <c r="F27" s="3">
        <f>D25*(CONVERT(1,"m","in")^3)</f>
        <v>21.65625</v>
      </c>
      <c r="G27" s="4" t="s">
        <v>40</v>
      </c>
      <c r="I27" s="4" t="s">
        <v>40</v>
      </c>
      <c r="J27" s="3">
        <f>B25*(CONVERT(1,"in","m")^3)</f>
        <v>1.9664476799999999E-4</v>
      </c>
    </row>
    <row r="28" spans="2:10">
      <c r="C28" s="1"/>
      <c r="D28" s="1"/>
      <c r="F28" s="3">
        <f>D25*(CONVERT(1,"m","ft")^3)</f>
        <v>1.2532552083333334E-2</v>
      </c>
      <c r="G28" s="4" t="s">
        <v>41</v>
      </c>
      <c r="I28" s="4" t="s">
        <v>41</v>
      </c>
      <c r="J28" s="3">
        <f>B25*(CONVERT(1,"ft","m")^3)</f>
        <v>0.33980215910400002</v>
      </c>
    </row>
    <row r="29" spans="2:10">
      <c r="C29" s="1"/>
      <c r="D29" s="1"/>
      <c r="F29" s="3">
        <f>D25*(CONVERT(1,"m","yd")^3)</f>
        <v>4.641685956790124E-4</v>
      </c>
      <c r="G29" s="5" t="s">
        <v>42</v>
      </c>
      <c r="I29" s="5" t="s">
        <v>42</v>
      </c>
      <c r="J29" s="3">
        <f>B25*(CONVERT(1,"yd","m")^3)</f>
        <v>9.1746582958080012</v>
      </c>
    </row>
    <row r="30" spans="2:10">
      <c r="C30" s="1"/>
      <c r="D30" s="1"/>
      <c r="F30" s="3">
        <f>D25*1000</f>
        <v>0.35488235474999996</v>
      </c>
      <c r="G30" s="4" t="s">
        <v>36</v>
      </c>
      <c r="I30" s="4" t="s">
        <v>36</v>
      </c>
      <c r="J30" s="3">
        <f>B25/1000</f>
        <v>1.2E-2</v>
      </c>
    </row>
    <row r="31" spans="2:10">
      <c r="C31" s="1"/>
      <c r="D31" s="1"/>
      <c r="F31" s="3">
        <f>D25*1000000</f>
        <v>354.88235474999999</v>
      </c>
      <c r="G31" s="6" t="s">
        <v>43</v>
      </c>
      <c r="I31" s="6" t="s">
        <v>43</v>
      </c>
      <c r="J31" s="3">
        <f>B25/1000000</f>
        <v>1.2E-5</v>
      </c>
    </row>
    <row r="32" spans="2:10">
      <c r="C32" s="1"/>
      <c r="D32" s="1"/>
      <c r="E32" s="54" t="s">
        <v>48</v>
      </c>
      <c r="F32" s="15">
        <f>D25/0.158987294928</f>
        <v>2.232142857142857E-3</v>
      </c>
      <c r="G32" s="6" t="s">
        <v>52</v>
      </c>
      <c r="I32" s="6" t="s">
        <v>52</v>
      </c>
      <c r="J32" s="3">
        <f>B25*0.158987294928</f>
        <v>1.9078475391360001</v>
      </c>
    </row>
    <row r="33" spans="3:10">
      <c r="C33" s="1"/>
      <c r="D33" s="1"/>
      <c r="E33" s="55"/>
      <c r="F33" s="15">
        <f>CONVERT(D25,"l","gal")*1000</f>
        <v>9.375E-2</v>
      </c>
      <c r="G33" s="6" t="s">
        <v>37</v>
      </c>
      <c r="I33" s="6" t="s">
        <v>37</v>
      </c>
      <c r="J33" s="3">
        <f>CONVERT(B25,"gal","l")/1000</f>
        <v>4.5424941407999998E-2</v>
      </c>
    </row>
    <row r="34" spans="3:10">
      <c r="C34" s="1"/>
      <c r="D34" s="1"/>
      <c r="E34" s="55"/>
      <c r="F34" s="15">
        <f>CONVERT(D25,"l","oz")*1000</f>
        <v>12</v>
      </c>
      <c r="G34" s="6" t="s">
        <v>47</v>
      </c>
      <c r="I34" s="6" t="s">
        <v>47</v>
      </c>
      <c r="J34" s="3">
        <f>CONVERT(B25,"oz","l")/1000</f>
        <v>3.5488235474999999E-4</v>
      </c>
    </row>
    <row r="35" spans="3:10">
      <c r="C35" s="1"/>
      <c r="D35" s="1"/>
      <c r="E35" s="55"/>
      <c r="F35" s="15">
        <f>CONVERT(D25,"l","us_pt")*1000</f>
        <v>0.75</v>
      </c>
      <c r="G35" s="6" t="s">
        <v>50</v>
      </c>
      <c r="I35" s="6" t="s">
        <v>50</v>
      </c>
      <c r="J35" s="3">
        <f>CONVERT(B25,"us_pt","l")/1000</f>
        <v>5.6781176759999998E-3</v>
      </c>
    </row>
    <row r="36" spans="3:10">
      <c r="C36" s="1"/>
      <c r="D36" s="1"/>
      <c r="E36" s="56"/>
      <c r="F36" s="15">
        <f>D25/550.6104713575*1000000</f>
        <v>0.64452525553147744</v>
      </c>
      <c r="G36" s="6" t="s">
        <v>51</v>
      </c>
      <c r="I36" s="6" t="s">
        <v>51</v>
      </c>
      <c r="J36" s="3">
        <f>B25*550.6104713575/1000000</f>
        <v>6.6073256562900005E-3</v>
      </c>
    </row>
    <row r="37" spans="3:10">
      <c r="C37" s="1"/>
      <c r="D37" s="1"/>
      <c r="E37" s="54" t="s">
        <v>49</v>
      </c>
      <c r="F37" s="3">
        <f>D25*1000/1.8</f>
        <v>0.19715686374999997</v>
      </c>
      <c r="G37" s="6" t="s">
        <v>44</v>
      </c>
      <c r="I37" s="6" t="s">
        <v>44</v>
      </c>
      <c r="J37" s="3">
        <f>B25/1000*1.8</f>
        <v>2.1600000000000001E-2</v>
      </c>
    </row>
    <row r="38" spans="3:10">
      <c r="C38" s="1"/>
      <c r="D38" s="1"/>
      <c r="E38" s="56"/>
      <c r="F38" s="3">
        <f>D25*10000/1.8</f>
        <v>1.9715686374999999</v>
      </c>
      <c r="G38" s="6" t="s">
        <v>45</v>
      </c>
      <c r="I38" s="6" t="s">
        <v>45</v>
      </c>
      <c r="J38" s="3">
        <f>B25/10000*1.8</f>
        <v>2.16E-3</v>
      </c>
    </row>
    <row r="39" spans="3:10">
      <c r="C39" s="1"/>
      <c r="D39" s="1"/>
      <c r="E39" s="16" t="s">
        <v>53</v>
      </c>
      <c r="F39" s="3">
        <f>CONVERT(D25,"l","uk_pt")*1000</f>
        <v>0.62450563847174156</v>
      </c>
      <c r="G39" s="6" t="s">
        <v>46</v>
      </c>
      <c r="I39" s="6" t="s">
        <v>46</v>
      </c>
      <c r="J39" s="3">
        <f>CONVERT(B25,"uk_pt","l")/1000</f>
        <v>6.8191350000000013E-3</v>
      </c>
    </row>
  </sheetData>
  <sheetProtection sheet="1" objects="1" scenarios="1"/>
  <mergeCells count="9">
    <mergeCell ref="E32:E36"/>
    <mergeCell ref="E37:E38"/>
    <mergeCell ref="B5:G5"/>
    <mergeCell ref="B6:C6"/>
    <mergeCell ref="F6:G6"/>
    <mergeCell ref="B24:C24"/>
    <mergeCell ref="F24:G24"/>
    <mergeCell ref="E19:E20"/>
    <mergeCell ref="E14:E18"/>
  </mergeCells>
  <dataValidations count="1">
    <dataValidation type="list" allowBlank="1" showInputMessage="1" showErrorMessage="1" sqref="C7 C25" xr:uid="{00000000-0002-0000-0300-000000000000}">
      <formula1>$I$7:$I$21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6"/>
  <sheetViews>
    <sheetView zoomScaleNormal="100" workbookViewId="0">
      <selection activeCell="J8" sqref="J8"/>
    </sheetView>
  </sheetViews>
  <sheetFormatPr defaultRowHeight="14.5"/>
  <cols>
    <col min="2" max="2" width="13.81640625" bestFit="1" customWidth="1"/>
    <col min="3" max="6" width="10.453125" customWidth="1"/>
    <col min="8" max="8" width="14.81640625" customWidth="1"/>
  </cols>
  <sheetData>
    <row r="1" spans="2:8">
      <c r="B1" t="s">
        <v>0</v>
      </c>
      <c r="H1" s="11"/>
    </row>
    <row r="2" spans="2:8">
      <c r="B2" s="9" t="s">
        <v>24</v>
      </c>
      <c r="F2" s="1"/>
      <c r="H2" s="11"/>
    </row>
    <row r="3" spans="2:8" ht="15" thickBot="1">
      <c r="C3" s="1"/>
      <c r="F3" s="1"/>
      <c r="H3" s="11"/>
    </row>
    <row r="4" spans="2:8" ht="15" thickBot="1">
      <c r="B4" s="50" t="s">
        <v>54</v>
      </c>
      <c r="C4" s="51"/>
      <c r="D4" s="51"/>
      <c r="E4" s="51"/>
      <c r="F4" s="52"/>
    </row>
    <row r="5" spans="2:8">
      <c r="B5" s="49" t="s">
        <v>8</v>
      </c>
      <c r="C5" s="49"/>
      <c r="E5" s="49" t="s">
        <v>9</v>
      </c>
      <c r="F5" s="49"/>
      <c r="H5" s="11"/>
    </row>
    <row r="6" spans="2:8">
      <c r="B6" s="7">
        <v>11</v>
      </c>
      <c r="C6" s="18" t="s">
        <v>55</v>
      </c>
      <c r="E6" s="19">
        <f>CONVERT(B6,"C","F")</f>
        <v>51.8</v>
      </c>
      <c r="F6" s="17" t="s">
        <v>56</v>
      </c>
      <c r="H6" s="11"/>
    </row>
    <row r="7" spans="2:8">
      <c r="E7" s="20"/>
    </row>
    <row r="8" spans="2:8">
      <c r="B8" s="7">
        <v>33</v>
      </c>
      <c r="C8" s="17" t="s">
        <v>56</v>
      </c>
      <c r="E8" s="19">
        <f>CONVERT(B8,"F","C")</f>
        <v>0.55555555555555558</v>
      </c>
      <c r="F8" s="18" t="s">
        <v>55</v>
      </c>
      <c r="H8" s="11"/>
    </row>
    <row r="9" spans="2:8">
      <c r="C9" s="1"/>
      <c r="F9" s="14"/>
      <c r="H9" s="11"/>
    </row>
    <row r="10" spans="2:8">
      <c r="D10" s="59" t="s">
        <v>92</v>
      </c>
      <c r="E10" s="59"/>
      <c r="F10" s="11"/>
      <c r="G10" s="11"/>
    </row>
    <row r="11" spans="2:8">
      <c r="D11" s="57" t="s">
        <v>132</v>
      </c>
      <c r="E11" s="58"/>
      <c r="F11" s="11"/>
      <c r="G11" s="11"/>
    </row>
    <row r="12" spans="2:8">
      <c r="D12" s="57" t="s">
        <v>172</v>
      </c>
      <c r="E12" s="58"/>
      <c r="F12" s="11"/>
      <c r="G12" s="11"/>
    </row>
    <row r="13" spans="2:8">
      <c r="D13" s="11"/>
      <c r="E13" s="11"/>
      <c r="F13" s="11"/>
      <c r="G13" s="11"/>
    </row>
    <row r="14" spans="2:8">
      <c r="D14" s="18" t="s">
        <v>55</v>
      </c>
      <c r="E14" s="30" t="s">
        <v>56</v>
      </c>
      <c r="F14" s="11"/>
      <c r="G14" s="11"/>
    </row>
    <row r="15" spans="2:8">
      <c r="C15" s="1"/>
      <c r="D15" s="29">
        <v>100</v>
      </c>
      <c r="E15" s="31">
        <v>212</v>
      </c>
      <c r="F15" s="11" t="s">
        <v>133</v>
      </c>
      <c r="G15" s="11"/>
    </row>
    <row r="16" spans="2:8">
      <c r="C16" s="1"/>
      <c r="D16" s="29">
        <v>50</v>
      </c>
      <c r="E16" s="31">
        <v>122</v>
      </c>
      <c r="F16" s="11"/>
      <c r="G16" s="11"/>
    </row>
    <row r="17" spans="3:7">
      <c r="C17" s="1"/>
      <c r="D17" s="29">
        <v>40</v>
      </c>
      <c r="E17" s="31">
        <v>104</v>
      </c>
      <c r="F17" s="11"/>
      <c r="G17" s="11"/>
    </row>
    <row r="18" spans="3:7">
      <c r="C18" s="1"/>
      <c r="D18" s="29">
        <v>37.799999999999997</v>
      </c>
      <c r="E18" s="31">
        <v>100</v>
      </c>
      <c r="F18" s="11"/>
      <c r="G18" s="11"/>
    </row>
    <row r="19" spans="3:7">
      <c r="C19" s="1"/>
      <c r="D19" s="29">
        <v>37</v>
      </c>
      <c r="E19" s="31">
        <v>98.6</v>
      </c>
      <c r="F19" s="11" t="s">
        <v>57</v>
      </c>
      <c r="G19" s="11"/>
    </row>
    <row r="20" spans="3:7">
      <c r="C20" s="1"/>
      <c r="D20" s="29">
        <v>30</v>
      </c>
      <c r="E20" s="31">
        <v>86</v>
      </c>
      <c r="F20" s="11"/>
      <c r="G20" s="11"/>
    </row>
    <row r="21" spans="3:7">
      <c r="C21" s="1"/>
      <c r="D21" s="29">
        <v>20</v>
      </c>
      <c r="E21" s="31">
        <v>68</v>
      </c>
      <c r="F21" s="11"/>
      <c r="G21" s="11"/>
    </row>
    <row r="22" spans="3:7">
      <c r="C22" s="1"/>
      <c r="D22" s="29">
        <v>10</v>
      </c>
      <c r="E22" s="31">
        <v>50</v>
      </c>
      <c r="F22" s="11"/>
      <c r="G22" s="11"/>
    </row>
    <row r="23" spans="3:7">
      <c r="C23" s="1"/>
      <c r="D23" s="29">
        <v>0</v>
      </c>
      <c r="E23" s="31">
        <v>32</v>
      </c>
      <c r="F23" s="11" t="s">
        <v>186</v>
      </c>
      <c r="G23" s="11"/>
    </row>
    <row r="24" spans="3:7">
      <c r="C24" s="1"/>
      <c r="D24" s="29">
        <v>-10</v>
      </c>
      <c r="E24" s="31">
        <v>14</v>
      </c>
      <c r="F24" s="11"/>
      <c r="G24" s="11"/>
    </row>
    <row r="25" spans="3:7">
      <c r="C25" s="1"/>
      <c r="D25" s="29">
        <v>-17.8</v>
      </c>
      <c r="E25" s="29">
        <v>0</v>
      </c>
      <c r="F25" s="11"/>
      <c r="G25" s="11"/>
    </row>
    <row r="26" spans="3:7">
      <c r="D26" s="11"/>
      <c r="E26" s="11"/>
      <c r="F26" s="11"/>
      <c r="G26" s="11"/>
    </row>
  </sheetData>
  <sheetProtection sheet="1" objects="1" scenarios="1"/>
  <mergeCells count="6">
    <mergeCell ref="D12:E12"/>
    <mergeCell ref="D11:E11"/>
    <mergeCell ref="D10:E10"/>
    <mergeCell ref="B4:F4"/>
    <mergeCell ref="B5:C5"/>
    <mergeCell ref="E5:F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20"/>
  <sheetViews>
    <sheetView workbookViewId="0">
      <selection activeCell="B12" sqref="B12"/>
    </sheetView>
  </sheetViews>
  <sheetFormatPr defaultRowHeight="14.5"/>
  <cols>
    <col min="2" max="2" width="15" customWidth="1"/>
    <col min="3" max="3" width="14.453125" bestFit="1" customWidth="1"/>
    <col min="4" max="4" width="11" hidden="1" customWidth="1"/>
    <col min="6" max="6" width="12" bestFit="1" customWidth="1"/>
    <col min="7" max="7" width="17.54296875" bestFit="1" customWidth="1"/>
    <col min="9" max="9" width="14.453125" hidden="1" customWidth="1"/>
    <col min="10" max="10" width="12" hidden="1" customWidth="1"/>
    <col min="11" max="11" width="19.453125" style="11" bestFit="1" customWidth="1"/>
  </cols>
  <sheetData>
    <row r="1" spans="2:11">
      <c r="B1" t="s">
        <v>0</v>
      </c>
      <c r="I1" s="1"/>
    </row>
    <row r="2" spans="2:11">
      <c r="C2" s="9" t="s">
        <v>24</v>
      </c>
      <c r="D2" s="1"/>
      <c r="G2" s="1"/>
      <c r="I2" s="1"/>
    </row>
    <row r="3" spans="2:11">
      <c r="C3" s="10" t="s">
        <v>23</v>
      </c>
      <c r="D3" s="1"/>
      <c r="G3" s="1"/>
      <c r="I3" s="1"/>
    </row>
    <row r="4" spans="2:11" ht="15" thickBot="1">
      <c r="C4" s="1"/>
      <c r="D4" s="1"/>
      <c r="G4" s="1"/>
      <c r="I4" s="1"/>
    </row>
    <row r="5" spans="2:11" ht="15" thickBot="1">
      <c r="B5" s="50" t="s">
        <v>58</v>
      </c>
      <c r="C5" s="51"/>
      <c r="D5" s="51"/>
      <c r="E5" s="51"/>
      <c r="F5" s="51"/>
      <c r="G5" s="52"/>
      <c r="I5" s="1"/>
      <c r="K5" s="12" t="s">
        <v>92</v>
      </c>
    </row>
    <row r="6" spans="2:11">
      <c r="B6" s="49" t="s">
        <v>8</v>
      </c>
      <c r="C6" s="49"/>
      <c r="D6" s="2"/>
      <c r="F6" s="49" t="s">
        <v>9</v>
      </c>
      <c r="G6" s="49"/>
      <c r="I6" s="4"/>
      <c r="J6" s="4" t="s">
        <v>61</v>
      </c>
      <c r="K6" s="21" t="s">
        <v>160</v>
      </c>
    </row>
    <row r="7" spans="2:11">
      <c r="B7" s="7">
        <v>4.0999999999999996</v>
      </c>
      <c r="C7" s="8" t="s">
        <v>158</v>
      </c>
      <c r="D7" s="1">
        <f>VLOOKUP(C7,I7:J12,2,0)</f>
        <v>1.9877360925490974E-5</v>
      </c>
      <c r="F7" s="3">
        <f>1000000*TAN(D7)</f>
        <v>19.877360928108885</v>
      </c>
      <c r="G7" s="17" t="s">
        <v>59</v>
      </c>
      <c r="I7" s="17" t="s">
        <v>59</v>
      </c>
      <c r="J7" s="4">
        <f>ATAN(B7/1000000)</f>
        <v>4.0999999999770256E-6</v>
      </c>
    </row>
    <row r="8" spans="2:11">
      <c r="C8" s="1"/>
      <c r="D8" s="1"/>
      <c r="F8" s="3">
        <f>D7*180*60*60/PI()</f>
        <v>4.0999999999999996</v>
      </c>
      <c r="G8" s="4" t="s">
        <v>158</v>
      </c>
      <c r="I8" s="4" t="s">
        <v>158</v>
      </c>
      <c r="J8" s="3">
        <f>B7/180/60/60*PI()</f>
        <v>1.9877360925490974E-5</v>
      </c>
    </row>
    <row r="9" spans="2:11">
      <c r="B9" s="22" t="s">
        <v>123</v>
      </c>
      <c r="C9" s="1"/>
      <c r="D9" s="1"/>
      <c r="F9" s="3">
        <f>D7*180*60/PI()</f>
        <v>6.8333333333333329E-2</v>
      </c>
      <c r="G9" s="4" t="s">
        <v>62</v>
      </c>
      <c r="I9" s="4" t="s">
        <v>62</v>
      </c>
      <c r="J9" s="3">
        <f>B7/180/60*PI()</f>
        <v>1.1926416555294583E-3</v>
      </c>
    </row>
    <row r="10" spans="2:11">
      <c r="C10" s="1"/>
      <c r="D10" s="1"/>
      <c r="F10" s="3">
        <f>D7*180/PI()</f>
        <v>1.1388888888888889E-3</v>
      </c>
      <c r="G10" s="4" t="s">
        <v>60</v>
      </c>
      <c r="I10" s="4" t="s">
        <v>60</v>
      </c>
      <c r="J10" s="3">
        <f>B7/180*PI()</f>
        <v>7.15584993317675E-2</v>
      </c>
    </row>
    <row r="11" spans="2:11">
      <c r="C11" s="1"/>
      <c r="D11" s="1"/>
      <c r="F11" s="3">
        <f>D7/2/PI()</f>
        <v>3.1635802469135803E-6</v>
      </c>
      <c r="G11" s="4" t="s">
        <v>63</v>
      </c>
      <c r="I11" s="4" t="s">
        <v>63</v>
      </c>
      <c r="J11" s="3">
        <f>B7*2*PI()</f>
        <v>25.7610597594363</v>
      </c>
    </row>
    <row r="12" spans="2:11">
      <c r="C12" s="1"/>
      <c r="D12" s="1"/>
      <c r="F12" s="3">
        <f>D7</f>
        <v>1.9877360925490974E-5</v>
      </c>
      <c r="G12" s="4" t="s">
        <v>61</v>
      </c>
      <c r="I12" s="4" t="s">
        <v>61</v>
      </c>
      <c r="J12" s="3">
        <f>B7</f>
        <v>4.0999999999999996</v>
      </c>
    </row>
    <row r="13" spans="2:11">
      <c r="C13" s="1"/>
      <c r="D13" s="1"/>
      <c r="G13" s="14"/>
      <c r="I13" s="14"/>
    </row>
    <row r="14" spans="2:11">
      <c r="B14" s="49" t="s">
        <v>8</v>
      </c>
      <c r="C14" s="49"/>
      <c r="D14" s="2"/>
      <c r="F14" s="49" t="s">
        <v>9</v>
      </c>
      <c r="G14" s="49"/>
      <c r="I14" s="4"/>
      <c r="J14" s="4" t="s">
        <v>61</v>
      </c>
    </row>
    <row r="15" spans="2:11">
      <c r="B15" s="7">
        <v>20</v>
      </c>
      <c r="C15" s="8" t="s">
        <v>59</v>
      </c>
      <c r="D15" s="1">
        <f>VLOOKUP(C15,I15:J20,2,0)</f>
        <v>1.9999999997333335E-5</v>
      </c>
      <c r="F15" s="3">
        <f>1000000*TAN(D15)</f>
        <v>20</v>
      </c>
      <c r="G15" s="17" t="s">
        <v>59</v>
      </c>
      <c r="I15" s="17" t="s">
        <v>59</v>
      </c>
      <c r="J15" s="4">
        <f>ATAN(B15/1000000)</f>
        <v>1.9999999997333335E-5</v>
      </c>
    </row>
    <row r="16" spans="2:11">
      <c r="C16" s="1"/>
      <c r="D16" s="1"/>
      <c r="F16" s="3">
        <f>D15*180*60*60/PI()</f>
        <v>4.1252961243918875</v>
      </c>
      <c r="G16" s="4" t="s">
        <v>158</v>
      </c>
      <c r="I16" s="4" t="s">
        <v>158</v>
      </c>
      <c r="J16" s="3">
        <f>B15/180/60/60*PI()</f>
        <v>9.6962736221907193E-5</v>
      </c>
    </row>
    <row r="17" spans="3:10">
      <c r="C17" s="1"/>
      <c r="D17" s="1"/>
      <c r="F17" s="3">
        <f>D15*180*60/PI()</f>
        <v>6.8754935406531464E-2</v>
      </c>
      <c r="G17" s="4" t="s">
        <v>62</v>
      </c>
      <c r="I17" s="4" t="s">
        <v>62</v>
      </c>
      <c r="J17" s="3">
        <f>B15/180/60*PI()</f>
        <v>5.817764173314431E-3</v>
      </c>
    </row>
    <row r="18" spans="3:10">
      <c r="C18" s="1"/>
      <c r="D18" s="1"/>
      <c r="F18" s="3">
        <f>D15*180/PI()</f>
        <v>1.1459155901088578E-3</v>
      </c>
      <c r="G18" s="4" t="s">
        <v>60</v>
      </c>
      <c r="I18" s="4" t="s">
        <v>60</v>
      </c>
      <c r="J18" s="3">
        <f>B15/180*PI()</f>
        <v>0.3490658503988659</v>
      </c>
    </row>
    <row r="19" spans="3:10">
      <c r="C19" s="1"/>
      <c r="D19" s="1"/>
      <c r="F19" s="3">
        <f>D15/2/PI()</f>
        <v>3.183098861413494E-6</v>
      </c>
      <c r="G19" s="4" t="s">
        <v>63</v>
      </c>
      <c r="I19" s="4" t="s">
        <v>63</v>
      </c>
      <c r="J19" s="3">
        <f>B15*2*PI()</f>
        <v>125.66370614359172</v>
      </c>
    </row>
    <row r="20" spans="3:10">
      <c r="C20" s="1"/>
      <c r="D20" s="1"/>
      <c r="F20" s="3">
        <f>D15</f>
        <v>1.9999999997333335E-5</v>
      </c>
      <c r="G20" s="4" t="s">
        <v>61</v>
      </c>
      <c r="I20" s="4" t="s">
        <v>61</v>
      </c>
      <c r="J20" s="3">
        <f>B15</f>
        <v>20</v>
      </c>
    </row>
  </sheetData>
  <sheetProtection sheet="1" objects="1" scenarios="1"/>
  <mergeCells count="5">
    <mergeCell ref="B14:C14"/>
    <mergeCell ref="F14:G14"/>
    <mergeCell ref="B5:G5"/>
    <mergeCell ref="B6:C6"/>
    <mergeCell ref="F6:G6"/>
  </mergeCells>
  <dataValidations count="1">
    <dataValidation type="list" allowBlank="1" showInputMessage="1" showErrorMessage="1" sqref="C7 C15" xr:uid="{00000000-0002-0000-0500-000000000000}">
      <formula1>$I$7:$I$12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U23"/>
  <sheetViews>
    <sheetView zoomScaleNormal="100" workbookViewId="0">
      <selection activeCell="O24" sqref="O24"/>
    </sheetView>
  </sheetViews>
  <sheetFormatPr defaultRowHeight="14.5"/>
  <cols>
    <col min="2" max="2" width="11.453125" customWidth="1"/>
    <col min="3" max="3" width="11.54296875" bestFit="1" customWidth="1"/>
    <col min="4" max="4" width="11" hidden="1" customWidth="1"/>
    <col min="6" max="6" width="15.7265625" customWidth="1"/>
    <col min="7" max="7" width="17.54296875" bestFit="1" customWidth="1"/>
    <col min="9" max="9" width="17.54296875" hidden="1" customWidth="1"/>
    <col min="10" max="10" width="12" hidden="1" customWidth="1"/>
    <col min="11" max="11" width="17.54296875" style="11" bestFit="1" customWidth="1"/>
    <col min="12" max="12" width="10.7265625" style="11" bestFit="1" customWidth="1"/>
    <col min="13" max="21" width="7.81640625" style="11" customWidth="1"/>
  </cols>
  <sheetData>
    <row r="1" spans="2:21">
      <c r="B1" t="s">
        <v>0</v>
      </c>
      <c r="I1" s="1"/>
    </row>
    <row r="2" spans="2:21">
      <c r="C2" s="9" t="s">
        <v>24</v>
      </c>
      <c r="D2" s="1"/>
      <c r="G2" s="1"/>
      <c r="I2" s="1"/>
    </row>
    <row r="3" spans="2:21">
      <c r="C3" s="10" t="s">
        <v>23</v>
      </c>
      <c r="D3" s="1"/>
      <c r="G3" s="1"/>
      <c r="I3" s="1"/>
    </row>
    <row r="4" spans="2:21" ht="15" thickBot="1">
      <c r="C4" s="1"/>
      <c r="D4" s="1"/>
      <c r="G4" s="1"/>
      <c r="I4" s="1"/>
    </row>
    <row r="5" spans="2:21" ht="15" thickBot="1">
      <c r="B5" s="50" t="s">
        <v>73</v>
      </c>
      <c r="C5" s="51"/>
      <c r="D5" s="51"/>
      <c r="E5" s="51"/>
      <c r="F5" s="51"/>
      <c r="G5" s="52"/>
      <c r="I5" s="1"/>
      <c r="K5" s="12" t="s">
        <v>92</v>
      </c>
      <c r="L5" s="12"/>
    </row>
    <row r="6" spans="2:21" ht="15" thickBot="1">
      <c r="B6" s="49" t="s">
        <v>8</v>
      </c>
      <c r="C6" s="49"/>
      <c r="D6" s="2"/>
      <c r="F6" s="53" t="s">
        <v>9</v>
      </c>
      <c r="G6" s="53"/>
      <c r="I6" s="1"/>
      <c r="J6" s="4" t="s">
        <v>66</v>
      </c>
      <c r="M6" s="11" t="s">
        <v>157</v>
      </c>
    </row>
    <row r="7" spans="2:21">
      <c r="B7" s="7">
        <v>1</v>
      </c>
      <c r="C7" s="8" t="s">
        <v>70</v>
      </c>
      <c r="D7" s="1">
        <f>VLOOKUP(C7,I7:J13,2,0)</f>
        <v>0.11298482902761671</v>
      </c>
      <c r="F7" s="3">
        <f>D7</f>
        <v>0.11298482902761671</v>
      </c>
      <c r="G7" s="4" t="s">
        <v>66</v>
      </c>
      <c r="I7" s="4" t="s">
        <v>66</v>
      </c>
      <c r="J7" s="23">
        <f>B7</f>
        <v>1</v>
      </c>
      <c r="K7" s="64" t="s">
        <v>90</v>
      </c>
      <c r="L7" s="47" t="s">
        <v>174</v>
      </c>
      <c r="M7" s="60" t="s">
        <v>74</v>
      </c>
      <c r="N7" s="61"/>
      <c r="O7" s="62"/>
      <c r="P7" s="60" t="s">
        <v>91</v>
      </c>
      <c r="Q7" s="61"/>
      <c r="R7" s="62"/>
      <c r="S7" s="63" t="s">
        <v>75</v>
      </c>
      <c r="T7" s="61"/>
      <c r="U7" s="62"/>
    </row>
    <row r="8" spans="2:21" ht="15" thickBot="1">
      <c r="C8" s="1"/>
      <c r="D8" s="1"/>
      <c r="F8" s="3">
        <f>D7*100</f>
        <v>11.298482902761672</v>
      </c>
      <c r="G8" s="4" t="s">
        <v>67</v>
      </c>
      <c r="I8" s="4" t="s">
        <v>67</v>
      </c>
      <c r="J8" s="24">
        <f>B7/100</f>
        <v>0.01</v>
      </c>
      <c r="K8" s="65"/>
      <c r="L8" s="48"/>
      <c r="M8" s="32" t="s">
        <v>66</v>
      </c>
      <c r="N8" s="33" t="s">
        <v>68</v>
      </c>
      <c r="O8" s="34" t="s">
        <v>70</v>
      </c>
      <c r="P8" s="32" t="s">
        <v>66</v>
      </c>
      <c r="Q8" s="33" t="s">
        <v>68</v>
      </c>
      <c r="R8" s="34" t="s">
        <v>70</v>
      </c>
      <c r="S8" s="35" t="s">
        <v>66</v>
      </c>
      <c r="T8" s="33" t="s">
        <v>68</v>
      </c>
      <c r="U8" s="34" t="s">
        <v>70</v>
      </c>
    </row>
    <row r="9" spans="2:21">
      <c r="C9" s="1"/>
      <c r="D9" s="1"/>
      <c r="F9" s="3">
        <f>D7/9.80665*100</f>
        <v>1.1521246198000001</v>
      </c>
      <c r="G9" s="4" t="s">
        <v>68</v>
      </c>
      <c r="I9" s="4" t="s">
        <v>68</v>
      </c>
      <c r="J9" s="24">
        <f>B7*9.80665/100</f>
        <v>9.8066500000000001E-2</v>
      </c>
      <c r="K9" s="28" t="s">
        <v>76</v>
      </c>
      <c r="L9" s="28" t="s">
        <v>175</v>
      </c>
      <c r="M9" s="36">
        <v>2.5</v>
      </c>
      <c r="N9" s="37">
        <v>25</v>
      </c>
      <c r="O9" s="38">
        <v>22</v>
      </c>
      <c r="P9" s="36">
        <v>2.5</v>
      </c>
      <c r="Q9" s="37">
        <v>25</v>
      </c>
      <c r="R9" s="38">
        <v>22</v>
      </c>
      <c r="S9" s="39">
        <v>3.9</v>
      </c>
      <c r="T9" s="37">
        <v>40</v>
      </c>
      <c r="U9" s="38">
        <v>35</v>
      </c>
    </row>
    <row r="10" spans="2:21">
      <c r="C10" s="1"/>
      <c r="D10" s="1"/>
      <c r="F10" s="3">
        <f>B7/9.80665</f>
        <v>0.10197162129779283</v>
      </c>
      <c r="G10" s="4" t="s">
        <v>69</v>
      </c>
      <c r="I10" s="4" t="s">
        <v>69</v>
      </c>
      <c r="J10" s="24">
        <f>B7*9.80665</f>
        <v>9.8066499999999994</v>
      </c>
      <c r="K10" s="26" t="s">
        <v>77</v>
      </c>
      <c r="L10" s="26" t="s">
        <v>176</v>
      </c>
      <c r="M10" s="40">
        <v>4.9000000000000004</v>
      </c>
      <c r="N10" s="29">
        <v>50</v>
      </c>
      <c r="O10" s="41">
        <v>43</v>
      </c>
      <c r="P10" s="40">
        <v>4.9000000000000004</v>
      </c>
      <c r="Q10" s="29">
        <v>50</v>
      </c>
      <c r="R10" s="41">
        <v>43</v>
      </c>
      <c r="S10" s="42">
        <v>8.3000000000000007</v>
      </c>
      <c r="T10" s="29">
        <v>85</v>
      </c>
      <c r="U10" s="41">
        <v>74</v>
      </c>
    </row>
    <row r="11" spans="2:21">
      <c r="C11" s="1"/>
      <c r="D11" s="1"/>
      <c r="F11" s="3">
        <f>CONVERT(CONVERT(D7,"N","lbf"),"m","in")</f>
        <v>1.0000000000000002</v>
      </c>
      <c r="G11" s="4" t="s">
        <v>70</v>
      </c>
      <c r="I11" s="4" t="s">
        <v>70</v>
      </c>
      <c r="J11" s="24">
        <f>CONVERT(CONVERT(B7,"lbf","N"),"in","m")</f>
        <v>0.11298482902761671</v>
      </c>
      <c r="K11" s="26" t="s">
        <v>78</v>
      </c>
      <c r="L11" s="26" t="s">
        <v>177</v>
      </c>
      <c r="M11" s="40">
        <v>7.8</v>
      </c>
      <c r="N11" s="29">
        <v>80</v>
      </c>
      <c r="O11" s="41">
        <v>69</v>
      </c>
      <c r="P11" s="40">
        <v>8.8000000000000007</v>
      </c>
      <c r="Q11" s="29">
        <v>90</v>
      </c>
      <c r="R11" s="41">
        <v>78</v>
      </c>
      <c r="S11" s="42">
        <v>14</v>
      </c>
      <c r="T11" s="29">
        <v>140</v>
      </c>
      <c r="U11" s="41">
        <v>120</v>
      </c>
    </row>
    <row r="12" spans="2:21">
      <c r="C12" s="1"/>
      <c r="D12" s="1"/>
      <c r="F12" s="3">
        <f>CONVERT(CONVERT(D7,"N","lbf"),"m","ft")</f>
        <v>8.3333333333333343E-2</v>
      </c>
      <c r="G12" s="5" t="s">
        <v>71</v>
      </c>
      <c r="I12" s="5" t="s">
        <v>71</v>
      </c>
      <c r="J12" s="24">
        <f>CONVERT(CONVERT(B7,"lbf","N"),"ft","m")</f>
        <v>1.3558179483314006</v>
      </c>
      <c r="K12" s="26" t="s">
        <v>79</v>
      </c>
      <c r="L12" s="26" t="s">
        <v>178</v>
      </c>
      <c r="M12" s="40">
        <v>15</v>
      </c>
      <c r="N12" s="29">
        <v>150</v>
      </c>
      <c r="O12" s="41">
        <v>130</v>
      </c>
      <c r="P12" s="40">
        <v>22</v>
      </c>
      <c r="Q12" s="29">
        <v>220</v>
      </c>
      <c r="R12" s="41">
        <v>190</v>
      </c>
      <c r="S12" s="42">
        <v>34</v>
      </c>
      <c r="T12" s="29">
        <v>350</v>
      </c>
      <c r="U12" s="41">
        <v>300</v>
      </c>
    </row>
    <row r="13" spans="2:21">
      <c r="F13" s="3">
        <f>CONVERT(CONVERT(D7,"N","lbf"),"m","in")*16</f>
        <v>16.000000000000004</v>
      </c>
      <c r="G13" s="5" t="s">
        <v>72</v>
      </c>
      <c r="I13" s="5" t="s">
        <v>72</v>
      </c>
      <c r="J13" s="24">
        <f>CONVERT(CONVERT(B7/16,"lbf","N"),"in","m")</f>
        <v>7.0615518142260443E-3</v>
      </c>
      <c r="K13" s="26" t="s">
        <v>80</v>
      </c>
      <c r="L13" s="26" t="s">
        <v>179</v>
      </c>
      <c r="M13" s="40">
        <v>28</v>
      </c>
      <c r="N13" s="29">
        <v>290</v>
      </c>
      <c r="O13" s="41">
        <v>250</v>
      </c>
      <c r="P13" s="40">
        <v>41</v>
      </c>
      <c r="Q13" s="29">
        <v>420</v>
      </c>
      <c r="R13" s="41">
        <v>360</v>
      </c>
      <c r="S13" s="42">
        <v>67</v>
      </c>
      <c r="T13" s="29">
        <v>680</v>
      </c>
      <c r="U13" s="41">
        <v>590</v>
      </c>
    </row>
    <row r="14" spans="2:21">
      <c r="K14" s="26" t="s">
        <v>81</v>
      </c>
      <c r="L14" s="26" t="s">
        <v>180</v>
      </c>
      <c r="M14" s="40">
        <v>30</v>
      </c>
      <c r="N14" s="29">
        <v>310</v>
      </c>
      <c r="O14" s="41">
        <v>270</v>
      </c>
      <c r="P14" s="40">
        <v>69</v>
      </c>
      <c r="Q14" s="29">
        <v>700</v>
      </c>
      <c r="R14" s="41">
        <v>610</v>
      </c>
      <c r="S14" s="42">
        <v>113</v>
      </c>
      <c r="T14" s="29">
        <v>1150</v>
      </c>
      <c r="U14" s="41">
        <v>998</v>
      </c>
    </row>
    <row r="15" spans="2:21">
      <c r="B15" s="49" t="s">
        <v>8</v>
      </c>
      <c r="C15" s="49"/>
      <c r="D15" s="2"/>
      <c r="F15" s="53" t="s">
        <v>9</v>
      </c>
      <c r="G15" s="53"/>
      <c r="I15" s="1"/>
      <c r="J15" s="23" t="s">
        <v>66</v>
      </c>
      <c r="K15" s="26" t="s">
        <v>82</v>
      </c>
      <c r="L15" s="26" t="s">
        <v>181</v>
      </c>
      <c r="M15" s="40">
        <v>54</v>
      </c>
      <c r="N15" s="29">
        <v>550</v>
      </c>
      <c r="O15" s="41">
        <v>480</v>
      </c>
      <c r="P15" s="40">
        <v>110</v>
      </c>
      <c r="Q15" s="29">
        <v>1100</v>
      </c>
      <c r="R15" s="41">
        <v>950</v>
      </c>
      <c r="S15" s="42">
        <v>181</v>
      </c>
      <c r="T15" s="29">
        <v>1850</v>
      </c>
      <c r="U15" s="41">
        <v>1610</v>
      </c>
    </row>
    <row r="16" spans="2:21">
      <c r="B16" s="7">
        <v>1</v>
      </c>
      <c r="C16" s="8" t="s">
        <v>124</v>
      </c>
      <c r="D16" s="1">
        <f>VLOOKUP(C16,I16:J22,2,0)</f>
        <v>1</v>
      </c>
      <c r="F16" s="3">
        <f>D16</f>
        <v>1</v>
      </c>
      <c r="G16" s="4" t="s">
        <v>66</v>
      </c>
      <c r="I16" s="4" t="s">
        <v>66</v>
      </c>
      <c r="J16" s="23">
        <f>B16</f>
        <v>1</v>
      </c>
      <c r="K16" s="26" t="s">
        <v>83</v>
      </c>
      <c r="L16" s="26" t="s">
        <v>182</v>
      </c>
      <c r="M16" s="40">
        <v>85</v>
      </c>
      <c r="N16" s="29">
        <v>870</v>
      </c>
      <c r="O16" s="41">
        <v>760</v>
      </c>
      <c r="P16" s="40">
        <v>170</v>
      </c>
      <c r="Q16" s="29">
        <v>1700</v>
      </c>
      <c r="R16" s="41">
        <v>1500</v>
      </c>
      <c r="S16" s="42">
        <v>275</v>
      </c>
      <c r="T16" s="29">
        <v>2800</v>
      </c>
      <c r="U16" s="41">
        <v>2430</v>
      </c>
    </row>
    <row r="17" spans="3:21">
      <c r="C17" s="1"/>
      <c r="D17" s="1"/>
      <c r="F17" s="3">
        <f>D16*100</f>
        <v>100</v>
      </c>
      <c r="G17" s="4" t="s">
        <v>67</v>
      </c>
      <c r="I17" s="4" t="s">
        <v>67</v>
      </c>
      <c r="J17" s="24">
        <f>B16/100</f>
        <v>0.01</v>
      </c>
      <c r="K17" s="26" t="s">
        <v>84</v>
      </c>
      <c r="L17" s="26" t="s">
        <v>182</v>
      </c>
      <c r="M17" s="40">
        <v>130</v>
      </c>
      <c r="N17" s="29">
        <v>1300</v>
      </c>
      <c r="O17" s="41">
        <v>1100</v>
      </c>
      <c r="P17" s="40">
        <v>240</v>
      </c>
      <c r="Q17" s="29">
        <v>2400</v>
      </c>
      <c r="R17" s="41">
        <v>2100</v>
      </c>
      <c r="S17" s="42">
        <v>382</v>
      </c>
      <c r="T17" s="29">
        <v>3900</v>
      </c>
      <c r="U17" s="41">
        <v>3390</v>
      </c>
    </row>
    <row r="18" spans="3:21">
      <c r="C18" s="1"/>
      <c r="D18" s="1"/>
      <c r="F18" s="3">
        <f>D16/9.80665*100</f>
        <v>10.197162129779283</v>
      </c>
      <c r="G18" s="4" t="s">
        <v>68</v>
      </c>
      <c r="I18" s="4" t="s">
        <v>68</v>
      </c>
      <c r="J18" s="24">
        <f>B16*9.80665/100</f>
        <v>9.8066500000000001E-2</v>
      </c>
      <c r="K18" s="26" t="s">
        <v>85</v>
      </c>
      <c r="L18" s="26" t="s">
        <v>183</v>
      </c>
      <c r="M18" s="40">
        <v>170</v>
      </c>
      <c r="N18" s="29">
        <v>1700</v>
      </c>
      <c r="O18" s="41">
        <v>1500</v>
      </c>
      <c r="P18" s="40">
        <v>320</v>
      </c>
      <c r="Q18" s="29">
        <v>3300</v>
      </c>
      <c r="R18" s="41">
        <v>2900</v>
      </c>
      <c r="S18" s="42">
        <v>539</v>
      </c>
      <c r="T18" s="29">
        <v>5500</v>
      </c>
      <c r="U18" s="41">
        <v>4770</v>
      </c>
    </row>
    <row r="19" spans="3:21">
      <c r="C19" s="1"/>
      <c r="D19" s="1"/>
      <c r="F19" s="3">
        <f>B16/9.80665</f>
        <v>0.10197162129779283</v>
      </c>
      <c r="G19" s="4" t="s">
        <v>69</v>
      </c>
      <c r="I19" s="4" t="s">
        <v>69</v>
      </c>
      <c r="J19" s="24">
        <f>B16*9.80665</f>
        <v>9.8066499999999994</v>
      </c>
      <c r="K19" s="26" t="s">
        <v>89</v>
      </c>
      <c r="L19" s="26" t="s">
        <v>183</v>
      </c>
      <c r="M19" s="40">
        <v>230</v>
      </c>
      <c r="N19" s="29">
        <v>2300</v>
      </c>
      <c r="O19" s="41">
        <v>2000</v>
      </c>
      <c r="P19" s="40">
        <v>440</v>
      </c>
      <c r="Q19" s="29">
        <v>4500</v>
      </c>
      <c r="R19" s="41">
        <v>3900</v>
      </c>
      <c r="S19" s="42">
        <v>628</v>
      </c>
      <c r="T19" s="29">
        <v>6400</v>
      </c>
      <c r="U19" s="41">
        <v>5550</v>
      </c>
    </row>
    <row r="20" spans="3:21">
      <c r="C20" s="1"/>
      <c r="D20" s="1"/>
      <c r="F20" s="3">
        <f>CONVERT(CONVERT(D16,"N","lbf"),"m","in")</f>
        <v>8.8507457913271832</v>
      </c>
      <c r="G20" s="4" t="s">
        <v>70</v>
      </c>
      <c r="I20" s="4" t="s">
        <v>70</v>
      </c>
      <c r="J20" s="24">
        <f>CONVERT(CONVERT(B16,"lbf","N"),"in","m")</f>
        <v>0.11298482902761671</v>
      </c>
      <c r="K20" s="26" t="s">
        <v>86</v>
      </c>
      <c r="L20" s="26" t="s">
        <v>184</v>
      </c>
      <c r="M20" s="40">
        <v>300</v>
      </c>
      <c r="N20" s="29">
        <v>3100</v>
      </c>
      <c r="O20" s="41">
        <v>2700</v>
      </c>
      <c r="P20" s="40">
        <v>570</v>
      </c>
      <c r="Q20" s="29">
        <v>5800</v>
      </c>
      <c r="R20" s="41">
        <v>5000</v>
      </c>
      <c r="S20" s="42">
        <v>804</v>
      </c>
      <c r="T20" s="29">
        <v>8200</v>
      </c>
      <c r="U20" s="41">
        <v>7120</v>
      </c>
    </row>
    <row r="21" spans="3:21">
      <c r="C21" s="1"/>
      <c r="D21" s="1"/>
      <c r="F21" s="3">
        <f>CONVERT(CONVERT(D16,"N","lbf"),"m","ft")</f>
        <v>0.73756214927726527</v>
      </c>
      <c r="G21" s="5" t="s">
        <v>71</v>
      </c>
      <c r="I21" s="5" t="s">
        <v>71</v>
      </c>
      <c r="J21" s="24">
        <f>CONVERT(CONVERT(B16,"lbf","N"),"ft","m")</f>
        <v>1.3558179483314006</v>
      </c>
      <c r="K21" s="26" t="s">
        <v>88</v>
      </c>
      <c r="L21" s="26" t="s">
        <v>184</v>
      </c>
      <c r="M21" s="40">
        <v>380</v>
      </c>
      <c r="N21" s="29">
        <v>3900</v>
      </c>
      <c r="O21" s="41">
        <v>3400</v>
      </c>
      <c r="P21" s="40">
        <v>820</v>
      </c>
      <c r="Q21" s="29">
        <v>8400</v>
      </c>
      <c r="R21" s="41">
        <v>7300</v>
      </c>
      <c r="S21" s="42">
        <v>1160</v>
      </c>
      <c r="T21" s="29">
        <v>11800</v>
      </c>
      <c r="U21" s="41">
        <v>10200</v>
      </c>
    </row>
    <row r="22" spans="3:21" ht="15" thickBot="1">
      <c r="F22" s="3">
        <f>CONVERT(CONVERT(D16,"N","lbf"),"m","in")*16</f>
        <v>141.61193266123493</v>
      </c>
      <c r="G22" s="5" t="s">
        <v>72</v>
      </c>
      <c r="I22" s="5" t="s">
        <v>72</v>
      </c>
      <c r="J22" s="24">
        <f>CONVERT(CONVERT(B16/16,"lbf","N"),"in","m")</f>
        <v>7.0615518142260443E-3</v>
      </c>
      <c r="K22" s="27" t="s">
        <v>87</v>
      </c>
      <c r="L22" s="27" t="s">
        <v>185</v>
      </c>
      <c r="M22" s="43">
        <v>590</v>
      </c>
      <c r="N22" s="44">
        <v>6000</v>
      </c>
      <c r="O22" s="45">
        <v>5200</v>
      </c>
      <c r="P22" s="43">
        <v>1100</v>
      </c>
      <c r="Q22" s="44">
        <v>11000</v>
      </c>
      <c r="R22" s="45">
        <v>9500</v>
      </c>
      <c r="S22" s="46">
        <v>1590</v>
      </c>
      <c r="T22" s="44">
        <v>16200</v>
      </c>
      <c r="U22" s="45">
        <v>14100</v>
      </c>
    </row>
    <row r="23" spans="3:21">
      <c r="K23" s="21"/>
      <c r="L23" s="21"/>
    </row>
  </sheetData>
  <sheetProtection sheet="1" objects="1" scenarios="1"/>
  <mergeCells count="9">
    <mergeCell ref="M7:O7"/>
    <mergeCell ref="S7:U7"/>
    <mergeCell ref="P7:R7"/>
    <mergeCell ref="K7:K8"/>
    <mergeCell ref="B5:G5"/>
    <mergeCell ref="B6:C6"/>
    <mergeCell ref="F6:G6"/>
    <mergeCell ref="B15:C15"/>
    <mergeCell ref="F15:G15"/>
  </mergeCells>
  <dataValidations count="1">
    <dataValidation type="list" allowBlank="1" showInputMessage="1" showErrorMessage="1" sqref="C7 C16" xr:uid="{00000000-0002-0000-0600-000000000000}">
      <formula1>$I$7:$I$13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21"/>
  <sheetViews>
    <sheetView topLeftCell="A2" workbookViewId="0">
      <selection activeCell="F29" sqref="F29"/>
    </sheetView>
  </sheetViews>
  <sheetFormatPr defaultRowHeight="14.5"/>
  <cols>
    <col min="2" max="2" width="13.81640625" bestFit="1" customWidth="1"/>
    <col min="3" max="3" width="11.54296875" bestFit="1" customWidth="1"/>
    <col min="4" max="4" width="11" hidden="1" customWidth="1"/>
    <col min="6" max="6" width="15.7265625" customWidth="1"/>
    <col min="7" max="7" width="17.54296875" bestFit="1" customWidth="1"/>
    <col min="9" max="9" width="17.54296875" hidden="1" customWidth="1"/>
    <col min="10" max="10" width="12" hidden="1" customWidth="1"/>
    <col min="11" max="11" width="13.453125" bestFit="1" customWidth="1"/>
    <col min="12" max="12" width="23.81640625" customWidth="1"/>
    <col min="13" max="13" width="9.1796875" style="1"/>
  </cols>
  <sheetData>
    <row r="1" spans="2:14">
      <c r="B1" t="s">
        <v>0</v>
      </c>
      <c r="I1" s="1"/>
      <c r="K1" s="11"/>
      <c r="L1" s="11"/>
    </row>
    <row r="2" spans="2:14">
      <c r="C2" s="9" t="s">
        <v>24</v>
      </c>
      <c r="D2" s="1"/>
      <c r="G2" s="1"/>
      <c r="I2" s="1"/>
      <c r="K2" s="11"/>
      <c r="L2" s="11"/>
    </row>
    <row r="3" spans="2:14">
      <c r="C3" s="10" t="s">
        <v>23</v>
      </c>
      <c r="D3" s="1"/>
      <c r="G3" s="1"/>
      <c r="I3" s="1"/>
      <c r="K3" s="11"/>
      <c r="L3" s="11"/>
    </row>
    <row r="4" spans="2:14" ht="15" thickBot="1">
      <c r="C4" s="1"/>
      <c r="D4" s="1"/>
      <c r="G4" s="1"/>
      <c r="I4" s="1"/>
      <c r="K4" s="11"/>
      <c r="L4" s="11"/>
    </row>
    <row r="5" spans="2:14" ht="15" thickBot="1">
      <c r="B5" s="50" t="s">
        <v>97</v>
      </c>
      <c r="C5" s="51"/>
      <c r="D5" s="51"/>
      <c r="E5" s="51"/>
      <c r="F5" s="51"/>
      <c r="G5" s="52"/>
      <c r="I5" s="1"/>
      <c r="K5" s="12" t="s">
        <v>92</v>
      </c>
      <c r="L5" s="12"/>
    </row>
    <row r="6" spans="2:14">
      <c r="B6" s="49" t="s">
        <v>8</v>
      </c>
      <c r="C6" s="49"/>
      <c r="D6" s="2"/>
      <c r="F6" s="53" t="s">
        <v>9</v>
      </c>
      <c r="G6" s="53"/>
      <c r="I6" s="1"/>
      <c r="J6" s="1" t="s">
        <v>64</v>
      </c>
      <c r="K6" s="67" t="s">
        <v>134</v>
      </c>
      <c r="L6" s="67"/>
      <c r="M6" s="67"/>
      <c r="N6" s="67"/>
    </row>
    <row r="7" spans="2:14">
      <c r="B7" s="7">
        <v>9.8000000000000007</v>
      </c>
      <c r="C7" s="8" t="s">
        <v>65</v>
      </c>
      <c r="D7" s="1">
        <f>VLOOKUP(C7,I7:J12,2,0)</f>
        <v>9800</v>
      </c>
      <c r="F7" s="3">
        <f>D7</f>
        <v>9800</v>
      </c>
      <c r="G7" s="4" t="s">
        <v>64</v>
      </c>
      <c r="I7" s="4" t="s">
        <v>64</v>
      </c>
      <c r="J7" s="4">
        <f>B7</f>
        <v>9.8000000000000007</v>
      </c>
      <c r="K7" s="3"/>
      <c r="L7" s="3" t="s">
        <v>140</v>
      </c>
      <c r="M7" s="4"/>
    </row>
    <row r="8" spans="2:14">
      <c r="C8" s="1"/>
      <c r="D8" s="1"/>
      <c r="F8" s="3">
        <f>D7/1000</f>
        <v>9.8000000000000007</v>
      </c>
      <c r="G8" s="4" t="s">
        <v>65</v>
      </c>
      <c r="I8" s="4" t="s">
        <v>65</v>
      </c>
      <c r="J8" s="24">
        <f>B7*1000</f>
        <v>9800</v>
      </c>
      <c r="K8" s="66" t="s">
        <v>118</v>
      </c>
      <c r="L8" s="29" t="s">
        <v>143</v>
      </c>
      <c r="M8" s="4" t="s">
        <v>141</v>
      </c>
    </row>
    <row r="9" spans="2:14">
      <c r="C9" s="1"/>
      <c r="D9" s="1"/>
      <c r="F9" s="3">
        <f>D7/9.80665</f>
        <v>999.32188871836979</v>
      </c>
      <c r="G9" s="4" t="s">
        <v>93</v>
      </c>
      <c r="I9" s="4" t="s">
        <v>93</v>
      </c>
      <c r="J9" s="24">
        <f>B7*9.80665</f>
        <v>96.105170000000001</v>
      </c>
      <c r="K9" s="66"/>
      <c r="L9" s="29" t="s">
        <v>136</v>
      </c>
      <c r="M9" s="4" t="s">
        <v>135</v>
      </c>
    </row>
    <row r="10" spans="2:14">
      <c r="C10" s="1"/>
      <c r="D10" s="1"/>
      <c r="F10" s="3">
        <f>D7/9.80665*1000</f>
        <v>999321.88871836977</v>
      </c>
      <c r="G10" s="4" t="s">
        <v>94</v>
      </c>
      <c r="I10" s="4" t="s">
        <v>94</v>
      </c>
      <c r="J10" s="24">
        <f>B7*9.80665/1000</f>
        <v>9.6105170000000004E-2</v>
      </c>
      <c r="K10" s="66"/>
      <c r="L10" s="29" t="s">
        <v>144</v>
      </c>
      <c r="M10" s="4" t="s">
        <v>142</v>
      </c>
    </row>
    <row r="11" spans="2:14">
      <c r="C11" s="1"/>
      <c r="D11" s="1"/>
      <c r="F11" s="3">
        <f>CONVERT(D7,"N","lbf")</f>
        <v>2203.1276423771628</v>
      </c>
      <c r="G11" s="4" t="s">
        <v>95</v>
      </c>
      <c r="I11" s="4" t="s">
        <v>95</v>
      </c>
      <c r="J11" s="24">
        <f>CONVERT(B7,"lbf","N")</f>
        <v>43.592571829552902</v>
      </c>
      <c r="K11" s="66"/>
      <c r="L11" s="29" t="s">
        <v>137</v>
      </c>
      <c r="M11" s="4" t="s">
        <v>138</v>
      </c>
    </row>
    <row r="12" spans="2:14">
      <c r="C12" s="1"/>
      <c r="D12" s="1"/>
      <c r="F12" s="3">
        <f>CONVERT(D7,"N","lbf")*16</f>
        <v>35250.042278034605</v>
      </c>
      <c r="G12" s="5" t="s">
        <v>96</v>
      </c>
      <c r="I12" s="5" t="s">
        <v>96</v>
      </c>
      <c r="J12" s="24">
        <f>CONVERT(B7/16,"lbf","N")</f>
        <v>2.7245357393470564</v>
      </c>
      <c r="K12" s="66" t="s">
        <v>119</v>
      </c>
      <c r="L12" s="29" t="s">
        <v>139</v>
      </c>
      <c r="M12" s="4" t="s">
        <v>145</v>
      </c>
    </row>
    <row r="13" spans="2:14">
      <c r="C13" s="1"/>
      <c r="D13" s="1"/>
      <c r="G13" s="14"/>
      <c r="I13" s="14"/>
      <c r="K13" s="66"/>
      <c r="L13" s="29" t="s">
        <v>146</v>
      </c>
      <c r="M13" s="4" t="s">
        <v>138</v>
      </c>
    </row>
    <row r="14" spans="2:14">
      <c r="B14" s="49" t="s">
        <v>8</v>
      </c>
      <c r="C14" s="49"/>
      <c r="D14" s="2"/>
      <c r="F14" s="53" t="s">
        <v>9</v>
      </c>
      <c r="G14" s="53"/>
      <c r="I14" s="1"/>
      <c r="J14" s="1" t="s">
        <v>64</v>
      </c>
      <c r="K14" s="66" t="s">
        <v>147</v>
      </c>
      <c r="L14" s="29" t="s">
        <v>148</v>
      </c>
      <c r="M14" s="4" t="s">
        <v>149</v>
      </c>
    </row>
    <row r="15" spans="2:14">
      <c r="B15" s="7">
        <v>1</v>
      </c>
      <c r="C15" s="8" t="s">
        <v>95</v>
      </c>
      <c r="D15" s="1">
        <f>VLOOKUP(C15,I15:J20,2,0)</f>
        <v>4.4482216152605005</v>
      </c>
      <c r="F15" s="3">
        <f>D15</f>
        <v>4.4482216152605005</v>
      </c>
      <c r="G15" s="4" t="s">
        <v>64</v>
      </c>
      <c r="I15" s="4" t="s">
        <v>64</v>
      </c>
      <c r="J15" s="23">
        <f>B15</f>
        <v>1</v>
      </c>
      <c r="K15" s="66"/>
      <c r="L15" s="29" t="s">
        <v>150</v>
      </c>
      <c r="M15" s="4" t="s">
        <v>151</v>
      </c>
    </row>
    <row r="16" spans="2:14">
      <c r="C16" s="1"/>
      <c r="D16" s="1"/>
      <c r="F16" s="3">
        <f>D15/1000</f>
        <v>4.4482216152605001E-3</v>
      </c>
      <c r="G16" s="4" t="s">
        <v>65</v>
      </c>
      <c r="I16" s="4" t="s">
        <v>65</v>
      </c>
      <c r="J16" s="24">
        <f>B15*1000</f>
        <v>1000</v>
      </c>
      <c r="L16" s="11"/>
    </row>
    <row r="17" spans="3:12">
      <c r="C17" s="1"/>
      <c r="D17" s="1"/>
      <c r="F17" s="3">
        <f>D15/9.80665</f>
        <v>0.45359237000000008</v>
      </c>
      <c r="G17" s="4" t="s">
        <v>93</v>
      </c>
      <c r="I17" s="4" t="s">
        <v>93</v>
      </c>
      <c r="J17" s="24">
        <f>B15*9.80665</f>
        <v>9.8066499999999994</v>
      </c>
      <c r="L17" s="11"/>
    </row>
    <row r="18" spans="3:12">
      <c r="C18" s="1"/>
      <c r="D18" s="1"/>
      <c r="F18" s="3">
        <f>D15/9.80665*1000</f>
        <v>453.59237000000007</v>
      </c>
      <c r="G18" s="4" t="s">
        <v>94</v>
      </c>
      <c r="I18" s="4" t="s">
        <v>94</v>
      </c>
      <c r="J18" s="3">
        <f>B15*9.80665/1000</f>
        <v>9.8066500000000001E-3</v>
      </c>
    </row>
    <row r="19" spans="3:12">
      <c r="C19" s="1"/>
      <c r="D19" s="1"/>
      <c r="F19" s="3">
        <f>CONVERT(D15,"N","lbf")</f>
        <v>1.0000000000000002</v>
      </c>
      <c r="G19" s="4" t="s">
        <v>95</v>
      </c>
      <c r="I19" s="4" t="s">
        <v>95</v>
      </c>
      <c r="J19" s="3">
        <f>CONVERT(B15,"lbf","N")</f>
        <v>4.4482216152605005</v>
      </c>
    </row>
    <row r="20" spans="3:12">
      <c r="C20" s="1"/>
      <c r="D20" s="1"/>
      <c r="F20" s="3">
        <f>CONVERT(D15,"N","lbf")*16</f>
        <v>16.000000000000004</v>
      </c>
      <c r="G20" s="5" t="s">
        <v>96</v>
      </c>
      <c r="I20" s="5" t="s">
        <v>96</v>
      </c>
      <c r="J20" s="3">
        <f>CONVERT(B15/16,"lbf","N")</f>
        <v>0.27801385095378128</v>
      </c>
    </row>
    <row r="21" spans="3:12">
      <c r="I21" s="1"/>
    </row>
  </sheetData>
  <sheetProtection sheet="1" objects="1" scenarios="1"/>
  <mergeCells count="9">
    <mergeCell ref="K14:K15"/>
    <mergeCell ref="K6:N6"/>
    <mergeCell ref="K8:K11"/>
    <mergeCell ref="K12:K13"/>
    <mergeCell ref="B5:G5"/>
    <mergeCell ref="B6:C6"/>
    <mergeCell ref="F6:G6"/>
    <mergeCell ref="B14:C14"/>
    <mergeCell ref="F14:G14"/>
  </mergeCells>
  <dataValidations count="1">
    <dataValidation type="list" allowBlank="1" showInputMessage="1" showErrorMessage="1" sqref="C7 C15" xr:uid="{00000000-0002-0000-0700-000000000000}">
      <formula1>$I$7:$I$12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24"/>
  <sheetViews>
    <sheetView workbookViewId="0">
      <selection activeCell="C32" sqref="C32"/>
    </sheetView>
  </sheetViews>
  <sheetFormatPr defaultRowHeight="14.5"/>
  <cols>
    <col min="2" max="2" width="13.81640625" bestFit="1" customWidth="1"/>
    <col min="3" max="3" width="11.54296875" bestFit="1" customWidth="1"/>
    <col min="4" max="4" width="11" hidden="1" customWidth="1"/>
    <col min="6" max="6" width="15.7265625" customWidth="1"/>
    <col min="7" max="7" width="17.54296875" bestFit="1" customWidth="1"/>
    <col min="9" max="9" width="17.54296875" hidden="1" customWidth="1"/>
    <col min="10" max="10" width="12" hidden="1" customWidth="1"/>
    <col min="11" max="12" width="9.1796875" style="11"/>
    <col min="13" max="13" width="21.54296875" style="11" customWidth="1"/>
  </cols>
  <sheetData>
    <row r="1" spans="2:13">
      <c r="B1" t="s">
        <v>0</v>
      </c>
      <c r="I1" s="1"/>
    </row>
    <row r="2" spans="2:13">
      <c r="C2" s="9" t="s">
        <v>24</v>
      </c>
      <c r="D2" s="1"/>
      <c r="G2" s="1"/>
      <c r="I2" s="1"/>
    </row>
    <row r="3" spans="2:13">
      <c r="C3" s="10" t="s">
        <v>23</v>
      </c>
      <c r="D3" s="1"/>
      <c r="G3" s="1"/>
      <c r="I3" s="1"/>
    </row>
    <row r="4" spans="2:13" ht="15" thickBot="1">
      <c r="C4" s="1"/>
      <c r="D4" s="1"/>
      <c r="G4" s="1"/>
      <c r="I4" s="1"/>
    </row>
    <row r="5" spans="2:13" ht="15" thickBot="1">
      <c r="B5" s="50" t="s">
        <v>164</v>
      </c>
      <c r="C5" s="51"/>
      <c r="D5" s="51"/>
      <c r="E5" s="51"/>
      <c r="F5" s="51"/>
      <c r="G5" s="52"/>
      <c r="I5" s="1"/>
      <c r="K5" s="59" t="s">
        <v>92</v>
      </c>
      <c r="L5" s="59"/>
      <c r="M5" s="59"/>
    </row>
    <row r="6" spans="2:13">
      <c r="B6" s="49" t="s">
        <v>8</v>
      </c>
      <c r="C6" s="49"/>
      <c r="D6" s="2"/>
      <c r="F6" s="53" t="s">
        <v>9</v>
      </c>
      <c r="G6" s="53"/>
      <c r="I6" s="1"/>
      <c r="J6" s="1" t="s">
        <v>100</v>
      </c>
      <c r="K6" s="25" t="s">
        <v>98</v>
      </c>
      <c r="L6" s="25" t="s">
        <v>106</v>
      </c>
      <c r="M6" s="29" t="s">
        <v>129</v>
      </c>
    </row>
    <row r="7" spans="2:13">
      <c r="B7" s="7">
        <v>1.5</v>
      </c>
      <c r="C7" s="8" t="s">
        <v>98</v>
      </c>
      <c r="D7" s="1">
        <f>VLOOKUP(C7,I7:J13,2,0)</f>
        <v>1500000</v>
      </c>
      <c r="F7" s="3">
        <f>D7</f>
        <v>1500000</v>
      </c>
      <c r="G7" s="4" t="s">
        <v>100</v>
      </c>
      <c r="I7" s="4" t="s">
        <v>100</v>
      </c>
      <c r="J7" s="23">
        <f>B7</f>
        <v>1.5</v>
      </c>
      <c r="K7" s="18">
        <v>0.03</v>
      </c>
      <c r="L7" s="18">
        <v>4.3499999999999996</v>
      </c>
      <c r="M7" s="29" t="s">
        <v>163</v>
      </c>
    </row>
    <row r="8" spans="2:13">
      <c r="C8" s="1"/>
      <c r="D8" s="1"/>
      <c r="F8" s="3">
        <f>D7/1000000</f>
        <v>1.5</v>
      </c>
      <c r="G8" s="4" t="s">
        <v>98</v>
      </c>
      <c r="I8" s="4" t="s">
        <v>98</v>
      </c>
      <c r="J8" s="24">
        <f>B7*1000000</f>
        <v>1500000</v>
      </c>
      <c r="K8" s="29">
        <v>0.5</v>
      </c>
      <c r="L8" s="29">
        <v>72.5</v>
      </c>
      <c r="M8" s="29" t="s">
        <v>156</v>
      </c>
    </row>
    <row r="9" spans="2:13">
      <c r="C9" s="1"/>
      <c r="D9" s="1"/>
      <c r="F9" s="3">
        <f>D7/100000</f>
        <v>15</v>
      </c>
      <c r="G9" s="4" t="s">
        <v>99</v>
      </c>
      <c r="I9" s="4" t="s">
        <v>99</v>
      </c>
      <c r="J9" s="24">
        <f>B7*100000</f>
        <v>150000</v>
      </c>
      <c r="K9" s="29">
        <v>1.5</v>
      </c>
      <c r="L9" s="29">
        <v>218</v>
      </c>
      <c r="M9" s="29" t="s">
        <v>108</v>
      </c>
    </row>
    <row r="10" spans="2:13">
      <c r="C10" s="1"/>
      <c r="D10" s="1"/>
      <c r="F10" s="3">
        <f>D7/101325</f>
        <v>14.803849000740193</v>
      </c>
      <c r="G10" s="4" t="s">
        <v>101</v>
      </c>
      <c r="I10" s="4" t="s">
        <v>101</v>
      </c>
      <c r="J10" s="24">
        <f>B7*101325</f>
        <v>151987.5</v>
      </c>
      <c r="K10" s="29">
        <v>3</v>
      </c>
      <c r="L10" s="29">
        <v>435</v>
      </c>
      <c r="M10" s="29" t="s">
        <v>108</v>
      </c>
    </row>
    <row r="11" spans="2:13">
      <c r="C11" s="1"/>
      <c r="D11" s="1"/>
      <c r="F11" s="3">
        <f>D7/98066.5</f>
        <v>15.295743194668924</v>
      </c>
      <c r="G11" s="4" t="s">
        <v>104</v>
      </c>
      <c r="I11" s="4" t="s">
        <v>104</v>
      </c>
      <c r="J11" s="3">
        <f>B7*98066.5</f>
        <v>147099.75</v>
      </c>
      <c r="K11" s="29">
        <v>7</v>
      </c>
      <c r="L11" s="29">
        <v>1015</v>
      </c>
      <c r="M11" s="29" t="s">
        <v>109</v>
      </c>
    </row>
    <row r="12" spans="2:13">
      <c r="C12" s="1"/>
      <c r="D12" s="1"/>
      <c r="F12" s="3">
        <f>D7/101325*760</f>
        <v>11250.925240562547</v>
      </c>
      <c r="G12" s="4" t="s">
        <v>102</v>
      </c>
      <c r="I12" s="4" t="s">
        <v>102</v>
      </c>
      <c r="J12" s="3">
        <f>B7*101325/760</f>
        <v>199.98355263157896</v>
      </c>
      <c r="K12" s="29">
        <v>8</v>
      </c>
      <c r="L12" s="29">
        <v>1160</v>
      </c>
      <c r="M12" s="29" t="s">
        <v>107</v>
      </c>
    </row>
    <row r="13" spans="2:13">
      <c r="C13" s="1"/>
      <c r="D13" s="1"/>
      <c r="F13" s="3">
        <f>D7/6894.75729316836</f>
        <v>217.55660659531387</v>
      </c>
      <c r="G13" s="5" t="s">
        <v>103</v>
      </c>
      <c r="I13" s="5" t="s">
        <v>103</v>
      </c>
      <c r="J13" s="3">
        <f>B7*6894.75729316836</f>
        <v>10342.135939752539</v>
      </c>
    </row>
    <row r="14" spans="2:13">
      <c r="B14" s="49" t="s">
        <v>8</v>
      </c>
      <c r="C14" s="49"/>
      <c r="D14" s="2"/>
      <c r="G14" s="14"/>
      <c r="I14" s="14"/>
    </row>
    <row r="15" spans="2:13">
      <c r="B15" s="7">
        <v>1000</v>
      </c>
      <c r="C15" s="8" t="s">
        <v>105</v>
      </c>
      <c r="D15" s="1">
        <f>VLOOKUP(C15,I15:J21,2,0)</f>
        <v>6894757.2931683594</v>
      </c>
      <c r="F15" s="3">
        <f>D15</f>
        <v>6894757.2931683594</v>
      </c>
      <c r="G15" s="4" t="s">
        <v>100</v>
      </c>
      <c r="I15" s="4" t="s">
        <v>100</v>
      </c>
      <c r="J15" s="4">
        <f>B15</f>
        <v>1000</v>
      </c>
    </row>
    <row r="16" spans="2:13">
      <c r="C16" s="1"/>
      <c r="D16" s="1"/>
      <c r="F16" s="3">
        <f>D15/1000000</f>
        <v>6.8947572931683592</v>
      </c>
      <c r="G16" s="4" t="s">
        <v>98</v>
      </c>
      <c r="I16" s="4" t="s">
        <v>98</v>
      </c>
      <c r="J16" s="3">
        <f>B15*1000000</f>
        <v>1000000000</v>
      </c>
    </row>
    <row r="17" spans="3:10">
      <c r="C17" s="1"/>
      <c r="D17" s="1"/>
      <c r="F17" s="3">
        <f>D15/100000</f>
        <v>68.947572931683595</v>
      </c>
      <c r="G17" s="4" t="s">
        <v>99</v>
      </c>
      <c r="I17" s="4" t="s">
        <v>99</v>
      </c>
      <c r="J17" s="3">
        <f>B15*100000</f>
        <v>100000000</v>
      </c>
    </row>
    <row r="18" spans="3:10">
      <c r="C18" s="1"/>
      <c r="D18" s="1"/>
      <c r="F18" s="3">
        <f>D15/101325</f>
        <v>68.045963909877713</v>
      </c>
      <c r="G18" s="4" t="s">
        <v>101</v>
      </c>
      <c r="I18" s="4" t="s">
        <v>101</v>
      </c>
      <c r="J18" s="3">
        <f>B15*101325</f>
        <v>101325000</v>
      </c>
    </row>
    <row r="19" spans="3:10">
      <c r="C19" s="1"/>
      <c r="D19" s="1"/>
      <c r="F19" s="3">
        <f>D15/98066.5</f>
        <v>70.306957963915906</v>
      </c>
      <c r="G19" s="4" t="s">
        <v>104</v>
      </c>
      <c r="I19" s="4" t="s">
        <v>104</v>
      </c>
      <c r="J19" s="3">
        <f>B15*98066.5</f>
        <v>98066500</v>
      </c>
    </row>
    <row r="20" spans="3:10">
      <c r="C20" s="1"/>
      <c r="D20" s="1"/>
      <c r="F20" s="3">
        <f>D15/101325*760</f>
        <v>51714.932571507059</v>
      </c>
      <c r="G20" s="4" t="s">
        <v>102</v>
      </c>
      <c r="I20" s="4" t="s">
        <v>102</v>
      </c>
      <c r="J20" s="3">
        <f>B15*101325/760</f>
        <v>133322.36842105264</v>
      </c>
    </row>
    <row r="21" spans="3:10">
      <c r="C21" s="1"/>
      <c r="D21" s="1"/>
      <c r="F21" s="3">
        <f>D15/6894.75729316836</f>
        <v>999.99999999999989</v>
      </c>
      <c r="G21" s="5" t="s">
        <v>103</v>
      </c>
      <c r="I21" s="5" t="s">
        <v>103</v>
      </c>
      <c r="J21" s="3">
        <f>B15*6894.75729316836</f>
        <v>6894757.2931683594</v>
      </c>
    </row>
    <row r="22" spans="3:10">
      <c r="I22" s="1"/>
    </row>
    <row r="23" spans="3:10">
      <c r="I23" s="1"/>
    </row>
    <row r="24" spans="3:10">
      <c r="I24" s="1"/>
    </row>
  </sheetData>
  <sheetProtection sheet="1" objects="1" scenarios="1"/>
  <mergeCells count="5">
    <mergeCell ref="B5:G5"/>
    <mergeCell ref="B6:C6"/>
    <mergeCell ref="F6:G6"/>
    <mergeCell ref="B14:C14"/>
    <mergeCell ref="K5:M5"/>
  </mergeCells>
  <dataValidations count="1">
    <dataValidation type="list" allowBlank="1" showInputMessage="1" showErrorMessage="1" sqref="C7 C15" xr:uid="{00000000-0002-0000-0800-000000000000}">
      <formula1>$I$7:$I$13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5"/>
  <sheetViews>
    <sheetView topLeftCell="A2" workbookViewId="0">
      <selection activeCell="N25" sqref="N25"/>
    </sheetView>
  </sheetViews>
  <sheetFormatPr defaultRowHeight="14.5"/>
  <cols>
    <col min="2" max="2" width="13.81640625" bestFit="1" customWidth="1"/>
    <col min="3" max="3" width="11.54296875" bestFit="1" customWidth="1"/>
    <col min="4" max="4" width="11" hidden="1" customWidth="1"/>
    <col min="6" max="6" width="15.7265625" customWidth="1"/>
    <col min="7" max="7" width="17.54296875" bestFit="1" customWidth="1"/>
    <col min="9" max="9" width="17.54296875" hidden="1" customWidth="1"/>
    <col min="10" max="10" width="12" hidden="1" customWidth="1"/>
    <col min="11" max="11" width="23.26953125" style="21" bestFit="1" customWidth="1"/>
    <col min="12" max="12" width="11.7265625" style="21" bestFit="1" customWidth="1"/>
  </cols>
  <sheetData>
    <row r="1" spans="2:12">
      <c r="B1" t="s">
        <v>0</v>
      </c>
      <c r="I1" s="1"/>
    </row>
    <row r="2" spans="2:12">
      <c r="C2" s="9" t="s">
        <v>24</v>
      </c>
      <c r="D2" s="1"/>
      <c r="G2" s="1"/>
      <c r="I2" s="1"/>
    </row>
    <row r="3" spans="2:12">
      <c r="C3" s="10" t="s">
        <v>23</v>
      </c>
      <c r="D3" s="1"/>
      <c r="G3" s="1"/>
      <c r="I3" s="1"/>
    </row>
    <row r="4" spans="2:12" ht="15" thickBot="1">
      <c r="C4" s="1"/>
      <c r="D4" s="1"/>
      <c r="G4" s="1"/>
      <c r="I4" s="1"/>
    </row>
    <row r="5" spans="2:12" ht="15" thickBot="1">
      <c r="B5" s="50" t="s">
        <v>117</v>
      </c>
      <c r="C5" s="51"/>
      <c r="D5" s="51"/>
      <c r="E5" s="51"/>
      <c r="F5" s="51"/>
      <c r="G5" s="52"/>
      <c r="I5" s="1"/>
      <c r="K5" s="68" t="s">
        <v>92</v>
      </c>
      <c r="L5" s="68"/>
    </row>
    <row r="6" spans="2:12">
      <c r="B6" s="49" t="s">
        <v>8</v>
      </c>
      <c r="C6" s="49"/>
      <c r="D6" s="2"/>
      <c r="F6" s="53" t="s">
        <v>9</v>
      </c>
      <c r="G6" s="53"/>
      <c r="I6" s="1"/>
      <c r="J6" s="23" t="s">
        <v>110</v>
      </c>
      <c r="K6" s="25" t="s">
        <v>122</v>
      </c>
      <c r="L6" s="25" t="s">
        <v>116</v>
      </c>
    </row>
    <row r="7" spans="2:12">
      <c r="B7" s="7">
        <v>96</v>
      </c>
      <c r="C7" s="8" t="s">
        <v>111</v>
      </c>
      <c r="D7" s="1">
        <f>VLOOKUP(C7,I7:J15,2,0)</f>
        <v>26.666666666666668</v>
      </c>
      <c r="F7" s="3">
        <f>D7</f>
        <v>26.666666666666668</v>
      </c>
      <c r="G7" s="4" t="s">
        <v>110</v>
      </c>
      <c r="I7" s="4" t="s">
        <v>110</v>
      </c>
      <c r="J7" s="23">
        <f>B7</f>
        <v>96</v>
      </c>
      <c r="K7" s="25" t="s">
        <v>118</v>
      </c>
      <c r="L7" s="25">
        <v>20</v>
      </c>
    </row>
    <row r="8" spans="2:12">
      <c r="C8" s="1"/>
      <c r="D8" s="1"/>
      <c r="F8" s="3">
        <f>D7*60000</f>
        <v>1600000</v>
      </c>
      <c r="G8" s="4" t="s">
        <v>114</v>
      </c>
      <c r="I8" s="4" t="s">
        <v>114</v>
      </c>
      <c r="J8" s="24">
        <f>B7/60000</f>
        <v>1.6000000000000001E-3</v>
      </c>
      <c r="K8" s="25" t="s">
        <v>119</v>
      </c>
      <c r="L8" s="25">
        <v>60</v>
      </c>
    </row>
    <row r="9" spans="2:12">
      <c r="C9" s="1"/>
      <c r="D9" s="1"/>
      <c r="F9" s="3">
        <f>D7*60</f>
        <v>1600</v>
      </c>
      <c r="G9" s="4" t="s">
        <v>116</v>
      </c>
      <c r="I9" s="4" t="s">
        <v>116</v>
      </c>
      <c r="J9" s="24">
        <f>B7/60</f>
        <v>1.6</v>
      </c>
      <c r="K9" s="25" t="s">
        <v>120</v>
      </c>
      <c r="L9" s="25">
        <v>25.4</v>
      </c>
    </row>
    <row r="10" spans="2:12">
      <c r="C10" s="1"/>
      <c r="D10" s="1"/>
      <c r="F10" s="3">
        <f>D7*3600/1000</f>
        <v>96</v>
      </c>
      <c r="G10" s="4" t="s">
        <v>111</v>
      </c>
      <c r="I10" s="4" t="s">
        <v>111</v>
      </c>
      <c r="J10" s="3">
        <f>B7*1000/3600</f>
        <v>26.666666666666668</v>
      </c>
      <c r="K10" s="25" t="s">
        <v>121</v>
      </c>
      <c r="L10" s="25">
        <v>16</v>
      </c>
    </row>
    <row r="11" spans="2:12">
      <c r="C11" s="1"/>
      <c r="D11" s="1"/>
      <c r="F11" s="3">
        <f>CONVERT(D7,"m","ft")</f>
        <v>87.489063867016625</v>
      </c>
      <c r="G11" s="4" t="s">
        <v>155</v>
      </c>
      <c r="I11" s="4" t="s">
        <v>155</v>
      </c>
      <c r="J11" s="3">
        <f>CONVERT(B7,"ft","m")</f>
        <v>29.2608</v>
      </c>
      <c r="K11" s="25" t="s">
        <v>173</v>
      </c>
      <c r="L11" s="25">
        <v>25</v>
      </c>
    </row>
    <row r="12" spans="2:12">
      <c r="C12" s="1"/>
      <c r="D12" s="1"/>
      <c r="F12" s="3">
        <f>CONVERT(D7,"m","ft")*60</f>
        <v>5249.3438320209971</v>
      </c>
      <c r="G12" s="4" t="s">
        <v>154</v>
      </c>
      <c r="I12" s="4" t="s">
        <v>154</v>
      </c>
      <c r="J12" s="3">
        <f>CONVERT(B7,"ft","m")/60</f>
        <v>0.48768</v>
      </c>
      <c r="K12" s="25"/>
      <c r="L12" s="25"/>
    </row>
    <row r="13" spans="2:12">
      <c r="C13" s="1"/>
      <c r="D13" s="1"/>
      <c r="F13" s="3">
        <f>CONVERT(D7,"m","in")*60</f>
        <v>62992.125984251972</v>
      </c>
      <c r="G13" s="4" t="s">
        <v>115</v>
      </c>
      <c r="I13" s="4" t="s">
        <v>115</v>
      </c>
      <c r="J13" s="3">
        <f>CONVERT(B7,"in","m")/60</f>
        <v>4.0640000000000003E-2</v>
      </c>
      <c r="K13" s="25"/>
      <c r="L13" s="25"/>
    </row>
    <row r="14" spans="2:12">
      <c r="C14" s="1"/>
      <c r="D14" s="1"/>
      <c r="F14" s="3">
        <f>CONVERT(D7,"m","mi")*3600</f>
        <v>59.651634454784073</v>
      </c>
      <c r="G14" s="4" t="s">
        <v>112</v>
      </c>
      <c r="I14" s="4" t="s">
        <v>112</v>
      </c>
      <c r="J14" s="3">
        <f>CONVERT(B7,"mi","m")/3600</f>
        <v>42.915840000000003</v>
      </c>
    </row>
    <row r="15" spans="2:12">
      <c r="F15" s="3">
        <f>D7/1852*3600</f>
        <v>51.83585313174946</v>
      </c>
      <c r="G15" s="4" t="s">
        <v>113</v>
      </c>
      <c r="I15" s="4" t="s">
        <v>113</v>
      </c>
      <c r="J15" s="3">
        <f>B7*1852/3600</f>
        <v>49.386666666666663</v>
      </c>
    </row>
    <row r="16" spans="2:12">
      <c r="B16" s="49" t="s">
        <v>8</v>
      </c>
      <c r="C16" s="49"/>
      <c r="D16" s="2"/>
    </row>
    <row r="17" spans="2:10">
      <c r="B17" s="7">
        <v>60</v>
      </c>
      <c r="C17" s="8" t="s">
        <v>112</v>
      </c>
      <c r="D17" s="1">
        <f>VLOOKUP(C17,I17:J25,2,0)</f>
        <v>26.822399999999998</v>
      </c>
      <c r="F17" s="3">
        <f>D17</f>
        <v>26.822399999999998</v>
      </c>
      <c r="G17" s="4" t="s">
        <v>110</v>
      </c>
      <c r="I17" s="4" t="s">
        <v>110</v>
      </c>
      <c r="J17" s="4">
        <f>B17</f>
        <v>60</v>
      </c>
    </row>
    <row r="18" spans="2:10">
      <c r="C18" s="1"/>
      <c r="D18" s="1"/>
      <c r="F18" s="3">
        <f>D17*60000</f>
        <v>1609344</v>
      </c>
      <c r="G18" s="4" t="s">
        <v>114</v>
      </c>
      <c r="I18" s="4" t="s">
        <v>114</v>
      </c>
      <c r="J18" s="3">
        <f>B17/60000</f>
        <v>1E-3</v>
      </c>
    </row>
    <row r="19" spans="2:10">
      <c r="C19" s="1"/>
      <c r="D19" s="1"/>
      <c r="F19" s="3">
        <f>D17*60</f>
        <v>1609.3439999999998</v>
      </c>
      <c r="G19" s="4" t="s">
        <v>116</v>
      </c>
      <c r="I19" s="4" t="s">
        <v>116</v>
      </c>
      <c r="J19" s="3">
        <f>B17/60</f>
        <v>1</v>
      </c>
    </row>
    <row r="20" spans="2:10">
      <c r="C20" s="1"/>
      <c r="D20" s="1"/>
      <c r="F20" s="3">
        <f>D17*3600/1000</f>
        <v>96.560640000000006</v>
      </c>
      <c r="G20" s="4" t="s">
        <v>111</v>
      </c>
      <c r="I20" s="4" t="s">
        <v>111</v>
      </c>
      <c r="J20" s="3">
        <f>B17*1000/3600</f>
        <v>16.666666666666668</v>
      </c>
    </row>
    <row r="21" spans="2:10">
      <c r="C21" s="1"/>
      <c r="D21" s="1"/>
      <c r="F21" s="3">
        <f>CONVERT(D17,"m","ft")</f>
        <v>87.999999999999986</v>
      </c>
      <c r="G21" s="4" t="s">
        <v>155</v>
      </c>
      <c r="I21" s="4" t="s">
        <v>155</v>
      </c>
      <c r="J21" s="3">
        <f>CONVERT(B17,"ft","m")</f>
        <v>18.288</v>
      </c>
    </row>
    <row r="22" spans="2:10">
      <c r="C22" s="1"/>
      <c r="D22" s="1"/>
      <c r="F22" s="3">
        <f>CONVERT(D17,"m","ft")*60</f>
        <v>5279.9999999999991</v>
      </c>
      <c r="G22" s="4" t="s">
        <v>154</v>
      </c>
      <c r="I22" s="4" t="s">
        <v>154</v>
      </c>
      <c r="J22" s="3">
        <f>CONVERT(B17,"ft","m")/60</f>
        <v>0.30480000000000002</v>
      </c>
    </row>
    <row r="23" spans="2:10">
      <c r="C23" s="1"/>
      <c r="D23" s="1"/>
      <c r="F23" s="3">
        <f>CONVERT(D17,"m","in")*60</f>
        <v>63359.999999999985</v>
      </c>
      <c r="G23" s="4" t="s">
        <v>115</v>
      </c>
      <c r="I23" s="4" t="s">
        <v>115</v>
      </c>
      <c r="J23" s="3">
        <f>CONVERT(B17,"in","m")/60</f>
        <v>2.5399999999999999E-2</v>
      </c>
    </row>
    <row r="24" spans="2:10">
      <c r="C24" s="1"/>
      <c r="D24" s="1"/>
      <c r="F24" s="3">
        <f>CONVERT(D17,"m","mi")*3600</f>
        <v>60</v>
      </c>
      <c r="G24" s="4" t="s">
        <v>112</v>
      </c>
      <c r="I24" s="4" t="s">
        <v>112</v>
      </c>
      <c r="J24" s="3">
        <f>CONVERT(B17,"mi","m")/3600</f>
        <v>26.822399999999998</v>
      </c>
    </row>
    <row r="25" spans="2:10">
      <c r="F25" s="3">
        <f>D17/1852*3600</f>
        <v>52.138574514038879</v>
      </c>
      <c r="G25" s="4" t="s">
        <v>113</v>
      </c>
      <c r="I25" s="4" t="s">
        <v>113</v>
      </c>
      <c r="J25" s="3">
        <f>B17*1852/3600</f>
        <v>30.866666666666667</v>
      </c>
    </row>
  </sheetData>
  <sheetProtection sheet="1" objects="1" scenarios="1"/>
  <mergeCells count="5">
    <mergeCell ref="K5:L5"/>
    <mergeCell ref="B5:G5"/>
    <mergeCell ref="B6:C6"/>
    <mergeCell ref="F6:G6"/>
    <mergeCell ref="B16:C16"/>
  </mergeCells>
  <dataValidations count="1">
    <dataValidation type="list" allowBlank="1" showInputMessage="1" showErrorMessage="1" sqref="C7 C17" xr:uid="{00000000-0002-0000-0900-000000000000}">
      <formula1>$I$7:$I$15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4"/>
  <sheetViews>
    <sheetView topLeftCell="A4" workbookViewId="0">
      <selection activeCell="F29" sqref="F29"/>
    </sheetView>
  </sheetViews>
  <sheetFormatPr defaultRowHeight="14.5"/>
  <cols>
    <col min="2" max="2" width="13.81640625" bestFit="1" customWidth="1"/>
    <col min="3" max="3" width="14.81640625" bestFit="1" customWidth="1"/>
    <col min="4" max="4" width="11" hidden="1" customWidth="1"/>
    <col min="6" max="6" width="15.7265625" customWidth="1"/>
    <col min="7" max="7" width="17.54296875" bestFit="1" customWidth="1"/>
    <col min="9" max="9" width="17.54296875" hidden="1" customWidth="1"/>
    <col min="10" max="10" width="12" hidden="1" customWidth="1"/>
    <col min="11" max="11" width="23.81640625" style="11" customWidth="1"/>
  </cols>
  <sheetData>
    <row r="1" spans="2:11">
      <c r="B1" t="s">
        <v>0</v>
      </c>
      <c r="I1" s="1"/>
    </row>
    <row r="2" spans="2:11">
      <c r="C2" s="9" t="s">
        <v>24</v>
      </c>
      <c r="D2" s="1"/>
      <c r="G2" s="1"/>
      <c r="I2" s="1"/>
    </row>
    <row r="3" spans="2:11">
      <c r="C3" s="10" t="s">
        <v>23</v>
      </c>
      <c r="D3" s="1"/>
      <c r="G3" s="1"/>
      <c r="I3" s="1"/>
    </row>
    <row r="4" spans="2:11" ht="15" thickBot="1">
      <c r="C4" s="1"/>
      <c r="D4" s="1"/>
      <c r="G4" s="1"/>
      <c r="I4" s="1"/>
    </row>
    <row r="5" spans="2:11" ht="15" thickBot="1">
      <c r="B5" s="50" t="s">
        <v>128</v>
      </c>
      <c r="C5" s="51"/>
      <c r="D5" s="51"/>
      <c r="E5" s="51"/>
      <c r="F5" s="51"/>
      <c r="G5" s="52"/>
      <c r="I5" s="1"/>
      <c r="K5" s="12" t="s">
        <v>92</v>
      </c>
    </row>
    <row r="6" spans="2:11">
      <c r="B6" s="49" t="s">
        <v>8</v>
      </c>
      <c r="C6" s="49"/>
      <c r="D6" s="2"/>
      <c r="F6" s="53" t="s">
        <v>9</v>
      </c>
      <c r="G6" s="53"/>
      <c r="I6" s="1"/>
      <c r="J6" s="1" t="s">
        <v>125</v>
      </c>
    </row>
    <row r="7" spans="2:11">
      <c r="B7" s="7">
        <v>20</v>
      </c>
      <c r="C7" s="8" t="s">
        <v>125</v>
      </c>
      <c r="D7" s="1">
        <f>VLOOKUP(C7,I7:J9,2,0)</f>
        <v>20</v>
      </c>
      <c r="F7" s="3">
        <f>D7</f>
        <v>20</v>
      </c>
      <c r="G7" s="4" t="s">
        <v>125</v>
      </c>
      <c r="I7" s="4" t="s">
        <v>125</v>
      </c>
      <c r="J7" s="4">
        <f>B7</f>
        <v>20</v>
      </c>
    </row>
    <row r="8" spans="2:11">
      <c r="C8" s="1"/>
      <c r="D8" s="1"/>
      <c r="F8" s="3">
        <f>D7*(CONVERT(1,"km","mi"))/(CONVERT(1,"l","gal"))</f>
        <v>47.042916666666656</v>
      </c>
      <c r="G8" s="4" t="s">
        <v>126</v>
      </c>
      <c r="I8" s="4" t="s">
        <v>126</v>
      </c>
      <c r="J8" s="3">
        <f>B7*(CONVERT(1,"mi","km"))/(CONVERT(1,"gal","l"))</f>
        <v>8.5028741486054411</v>
      </c>
    </row>
    <row r="9" spans="2:11">
      <c r="C9" s="1"/>
      <c r="D9" s="1"/>
      <c r="F9" s="3">
        <f>1/D7*100</f>
        <v>5</v>
      </c>
      <c r="G9" s="4" t="s">
        <v>127</v>
      </c>
      <c r="I9" s="4" t="s">
        <v>127</v>
      </c>
      <c r="J9" s="3">
        <f>1/B7*100</f>
        <v>5</v>
      </c>
    </row>
    <row r="10" spans="2:11">
      <c r="C10" s="1"/>
      <c r="D10" s="1"/>
      <c r="G10" s="14"/>
      <c r="I10" s="14"/>
    </row>
    <row r="11" spans="2:11">
      <c r="B11" s="49" t="s">
        <v>8</v>
      </c>
      <c r="C11" s="49"/>
      <c r="D11" s="2"/>
      <c r="F11" s="53" t="s">
        <v>9</v>
      </c>
      <c r="G11" s="53"/>
      <c r="I11" s="1"/>
      <c r="J11" s="1" t="s">
        <v>125</v>
      </c>
    </row>
    <row r="12" spans="2:11">
      <c r="B12" s="7">
        <v>35</v>
      </c>
      <c r="C12" s="8" t="s">
        <v>126</v>
      </c>
      <c r="D12" s="1">
        <f>VLOOKUP(C12,I12:J14,2,0)</f>
        <v>14.880029760059521</v>
      </c>
      <c r="F12" s="3">
        <f>D12</f>
        <v>14.880029760059521</v>
      </c>
      <c r="G12" s="4" t="s">
        <v>125</v>
      </c>
      <c r="I12" s="4" t="s">
        <v>125</v>
      </c>
      <c r="J12" s="4">
        <f>B12</f>
        <v>35</v>
      </c>
    </row>
    <row r="13" spans="2:11">
      <c r="C13" s="1"/>
      <c r="D13" s="1"/>
      <c r="F13" s="3">
        <f>D12*(CONVERT(1,"km","mi"))/(CONVERT(1,"l","gal"))</f>
        <v>35</v>
      </c>
      <c r="G13" s="4" t="s">
        <v>126</v>
      </c>
      <c r="I13" s="4" t="s">
        <v>126</v>
      </c>
      <c r="J13" s="3">
        <f>B12*(CONVERT(1,"mi","km"))/(CONVERT(1,"gal","l"))</f>
        <v>14.880029760059521</v>
      </c>
    </row>
    <row r="14" spans="2:11">
      <c r="C14" s="1"/>
      <c r="D14" s="1"/>
      <c r="F14" s="3">
        <f>1/D12*100</f>
        <v>6.720416666666666</v>
      </c>
      <c r="G14" s="4" t="s">
        <v>127</v>
      </c>
      <c r="I14" s="4" t="s">
        <v>127</v>
      </c>
      <c r="J14" s="3">
        <f>1/B12*100</f>
        <v>2.8571428571428572</v>
      </c>
    </row>
  </sheetData>
  <sheetProtection sheet="1" objects="1" scenarios="1"/>
  <mergeCells count="5">
    <mergeCell ref="B5:G5"/>
    <mergeCell ref="B6:C6"/>
    <mergeCell ref="F6:G6"/>
    <mergeCell ref="B11:C11"/>
    <mergeCell ref="F11:G11"/>
  </mergeCells>
  <dataValidations count="1">
    <dataValidation type="list" allowBlank="1" showInputMessage="1" showErrorMessage="1" sqref="C7 C12" xr:uid="{00000000-0002-0000-0A00-000000000000}">
      <formula1>$I$7:$I$9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30"/>
  <sheetViews>
    <sheetView workbookViewId="0">
      <selection activeCell="M14" sqref="M14"/>
    </sheetView>
  </sheetViews>
  <sheetFormatPr defaultRowHeight="14.5"/>
  <cols>
    <col min="2" max="2" width="13.81640625" bestFit="1" customWidth="1"/>
    <col min="3" max="3" width="14.81640625" bestFit="1" customWidth="1"/>
    <col min="4" max="4" width="11" hidden="1" customWidth="1"/>
    <col min="6" max="6" width="15.7265625" customWidth="1"/>
    <col min="7" max="7" width="14.81640625" bestFit="1" customWidth="1"/>
    <col min="9" max="9" width="17.54296875" hidden="1" customWidth="1"/>
    <col min="10" max="10" width="12" hidden="1" customWidth="1"/>
    <col min="11" max="11" width="23.81640625" style="11" customWidth="1"/>
  </cols>
  <sheetData>
    <row r="1" spans="2:11">
      <c r="B1" t="s">
        <v>0</v>
      </c>
      <c r="I1" s="1"/>
    </row>
    <row r="2" spans="2:11">
      <c r="C2" s="9" t="s">
        <v>24</v>
      </c>
      <c r="D2" s="1"/>
      <c r="G2" s="1"/>
      <c r="I2" s="1"/>
    </row>
    <row r="3" spans="2:11">
      <c r="C3" s="10" t="s">
        <v>23</v>
      </c>
      <c r="D3" s="1"/>
      <c r="G3" s="1"/>
      <c r="I3" s="1"/>
    </row>
    <row r="4" spans="2:11" ht="15" thickBot="1">
      <c r="C4" s="1"/>
      <c r="D4" s="1"/>
      <c r="G4" s="1"/>
      <c r="I4" s="1"/>
    </row>
    <row r="5" spans="2:11" ht="15" thickBot="1">
      <c r="B5" s="50" t="s">
        <v>128</v>
      </c>
      <c r="C5" s="51"/>
      <c r="D5" s="51"/>
      <c r="E5" s="51"/>
      <c r="F5" s="51"/>
      <c r="G5" s="52"/>
      <c r="I5" s="1"/>
      <c r="K5" s="12" t="s">
        <v>92</v>
      </c>
    </row>
    <row r="6" spans="2:11">
      <c r="B6" s="49" t="s">
        <v>8</v>
      </c>
      <c r="C6" s="49"/>
      <c r="D6" s="2"/>
      <c r="F6" s="53" t="s">
        <v>9</v>
      </c>
      <c r="G6" s="53"/>
      <c r="I6" s="1"/>
      <c r="J6" s="1" t="s">
        <v>125</v>
      </c>
    </row>
    <row r="7" spans="2:11">
      <c r="B7" s="7">
        <v>35</v>
      </c>
      <c r="C7" s="8" t="s">
        <v>126</v>
      </c>
      <c r="D7" s="1">
        <f>VLOOKUP(C7,I7:J9,2,0)</f>
        <v>14.880029760059521</v>
      </c>
      <c r="F7" s="3">
        <f>D7</f>
        <v>14.880029760059521</v>
      </c>
      <c r="G7" s="4" t="s">
        <v>125</v>
      </c>
      <c r="I7" s="4" t="s">
        <v>125</v>
      </c>
      <c r="J7" s="4">
        <f>B7</f>
        <v>35</v>
      </c>
    </row>
    <row r="8" spans="2:11">
      <c r="C8" s="1"/>
      <c r="D8" s="1"/>
      <c r="F8" s="3">
        <f>D7*(CONVERT(1,"km","mi"))/(CONVERT(1,"l","gal"))</f>
        <v>35</v>
      </c>
      <c r="G8" s="4" t="s">
        <v>126</v>
      </c>
      <c r="I8" s="4" t="s">
        <v>126</v>
      </c>
      <c r="J8" s="3">
        <f>B7*(CONVERT(1,"mi","km"))/(CONVERT(1,"gal","l"))</f>
        <v>14.880029760059521</v>
      </c>
    </row>
    <row r="9" spans="2:11">
      <c r="C9" s="1"/>
      <c r="D9" s="1"/>
      <c r="F9" s="3">
        <f>1/D7*100</f>
        <v>6.720416666666666</v>
      </c>
      <c r="G9" s="4" t="s">
        <v>127</v>
      </c>
      <c r="I9" s="4" t="s">
        <v>127</v>
      </c>
      <c r="J9" s="3">
        <f>1/B7*100</f>
        <v>2.8571428571428572</v>
      </c>
    </row>
    <row r="10" spans="2:11">
      <c r="C10" s="1"/>
      <c r="D10" s="1"/>
      <c r="G10" s="14"/>
      <c r="I10" s="14"/>
    </row>
    <row r="11" spans="2:11">
      <c r="B11" s="7">
        <v>3.9</v>
      </c>
      <c r="C11" s="4" t="s">
        <v>165</v>
      </c>
      <c r="D11" s="1"/>
      <c r="F11" s="3">
        <f>B11/(CONVERT(1,"gal","l"))</f>
        <v>1.0302710041967789</v>
      </c>
      <c r="G11" s="6" t="s">
        <v>171</v>
      </c>
      <c r="I11" s="14"/>
    </row>
    <row r="12" spans="2:11">
      <c r="G12" s="14"/>
    </row>
    <row r="13" spans="2:11">
      <c r="F13" s="3">
        <f>F8/B11</f>
        <v>8.9743589743589745</v>
      </c>
      <c r="G13" s="4" t="s">
        <v>167</v>
      </c>
    </row>
    <row r="14" spans="2:11">
      <c r="F14" s="3">
        <f>1/F13</f>
        <v>0.11142857142857143</v>
      </c>
      <c r="G14" s="4" t="s">
        <v>170</v>
      </c>
    </row>
    <row r="15" spans="2:11">
      <c r="F15" s="3">
        <f>F14*100</f>
        <v>11.142857142857142</v>
      </c>
      <c r="G15" s="4" t="s">
        <v>166</v>
      </c>
    </row>
    <row r="16" spans="2:11">
      <c r="F16" s="3">
        <f>CONVERT(F13,"mi","km")</f>
        <v>14.442830769230769</v>
      </c>
      <c r="G16" s="4" t="s">
        <v>168</v>
      </c>
    </row>
    <row r="17" spans="2:10">
      <c r="D17" s="1" t="e">
        <f>VLOOKUP(#REF!,I17:J19,2,0)</f>
        <v>#REF!</v>
      </c>
      <c r="F17" s="3">
        <f>100/F16</f>
        <v>6.9238504277874355</v>
      </c>
      <c r="G17" s="4" t="s">
        <v>169</v>
      </c>
      <c r="I17" s="4" t="s">
        <v>125</v>
      </c>
      <c r="J17" s="4" t="e">
        <f>#REF!</f>
        <v>#REF!</v>
      </c>
    </row>
    <row r="18" spans="2:10">
      <c r="D18" s="1"/>
      <c r="I18" s="4" t="s">
        <v>126</v>
      </c>
      <c r="J18" s="3" t="e">
        <f>#REF!*(CONVERT(1,"mi","km"))/(CONVERT(1,"gal","l"))</f>
        <v>#REF!</v>
      </c>
    </row>
    <row r="19" spans="2:10">
      <c r="B19" s="49" t="s">
        <v>8</v>
      </c>
      <c r="C19" s="49"/>
      <c r="D19" s="2"/>
      <c r="F19" s="53" t="s">
        <v>9</v>
      </c>
      <c r="G19" s="53"/>
      <c r="I19" s="1"/>
      <c r="J19" s="1" t="s">
        <v>125</v>
      </c>
    </row>
    <row r="20" spans="2:10">
      <c r="B20" s="7">
        <v>14</v>
      </c>
      <c r="C20" s="8" t="s">
        <v>125</v>
      </c>
      <c r="D20" s="1">
        <f>VLOOKUP(C20,I20:J22,2,0)</f>
        <v>14</v>
      </c>
      <c r="F20" s="3">
        <f>D20</f>
        <v>14</v>
      </c>
      <c r="G20" s="4" t="s">
        <v>125</v>
      </c>
      <c r="I20" s="4" t="s">
        <v>125</v>
      </c>
      <c r="J20" s="4">
        <f>B20</f>
        <v>14</v>
      </c>
    </row>
    <row r="21" spans="2:10">
      <c r="C21" s="1"/>
      <c r="D21" s="1"/>
      <c r="F21" s="3">
        <f>D20*(CONVERT(1,"km","mi"))/(CONVERT(1,"l","gal"))</f>
        <v>32.930041666666668</v>
      </c>
      <c r="G21" s="4" t="s">
        <v>126</v>
      </c>
      <c r="I21" s="4" t="s">
        <v>126</v>
      </c>
      <c r="J21" s="3">
        <f>B20*(CONVERT(1,"mi","km"))/(CONVERT(1,"gal","l"))</f>
        <v>5.9520119040238084</v>
      </c>
    </row>
    <row r="22" spans="2:10">
      <c r="C22" s="1"/>
      <c r="D22" s="1"/>
      <c r="F22" s="3">
        <f>1/D20*100</f>
        <v>7.1428571428571423</v>
      </c>
      <c r="G22" s="4" t="s">
        <v>127</v>
      </c>
      <c r="I22" s="4" t="s">
        <v>127</v>
      </c>
      <c r="J22" s="3">
        <f>1/B20*100</f>
        <v>7.1428571428571423</v>
      </c>
    </row>
    <row r="23" spans="2:10">
      <c r="C23" s="1"/>
      <c r="D23" s="1"/>
      <c r="G23" s="14"/>
      <c r="I23" s="14"/>
    </row>
    <row r="24" spans="2:10">
      <c r="B24" s="7">
        <v>3.99</v>
      </c>
      <c r="C24" s="4" t="s">
        <v>165</v>
      </c>
      <c r="D24" s="1"/>
      <c r="F24" s="3">
        <f>B24/(CONVERT(1,"gal","l"))</f>
        <v>1.0540464889090122</v>
      </c>
      <c r="G24" s="6" t="s">
        <v>171</v>
      </c>
      <c r="I24" s="14"/>
    </row>
    <row r="25" spans="2:10">
      <c r="G25" s="14"/>
    </row>
    <row r="26" spans="2:10">
      <c r="F26" s="3">
        <f>F21/B24</f>
        <v>8.2531432748538016</v>
      </c>
      <c r="G26" s="4" t="s">
        <v>167</v>
      </c>
    </row>
    <row r="27" spans="2:10">
      <c r="F27" s="3">
        <f>1/F26</f>
        <v>0.12116595661762751</v>
      </c>
      <c r="G27" s="4" t="s">
        <v>170</v>
      </c>
    </row>
    <row r="28" spans="2:10">
      <c r="F28" s="3">
        <f>F27*100</f>
        <v>12.116595661762751</v>
      </c>
      <c r="G28" s="4" t="s">
        <v>166</v>
      </c>
    </row>
    <row r="29" spans="2:10">
      <c r="F29" s="3">
        <f>CONVERT(F26,"mi","km")</f>
        <v>13.282146610526317</v>
      </c>
      <c r="G29" s="4" t="s">
        <v>168</v>
      </c>
    </row>
    <row r="30" spans="2:10">
      <c r="D30" s="1" t="e">
        <f>VLOOKUP(#REF!,I30:J32,2,0)</f>
        <v>#REF!</v>
      </c>
      <c r="F30" s="3">
        <f>100/F29</f>
        <v>7.5289034922072293</v>
      </c>
      <c r="G30" s="4" t="s">
        <v>169</v>
      </c>
      <c r="I30" s="4" t="s">
        <v>125</v>
      </c>
      <c r="J30" s="4" t="e">
        <f>#REF!</f>
        <v>#REF!</v>
      </c>
    </row>
  </sheetData>
  <sheetProtection sheet="1" objects="1" scenarios="1"/>
  <mergeCells count="5">
    <mergeCell ref="B19:C19"/>
    <mergeCell ref="F19:G19"/>
    <mergeCell ref="B5:G5"/>
    <mergeCell ref="B6:C6"/>
    <mergeCell ref="F6:G6"/>
  </mergeCells>
  <dataValidations count="1">
    <dataValidation type="list" allowBlank="1" showInputMessage="1" showErrorMessage="1" sqref="C7 C20" xr:uid="{00000000-0002-0000-0B00-000000000000}">
      <formula1>$I$7:$I$9</formula1>
    </dataValidation>
  </dataValidations>
  <pageMargins left="0.7" right="0.7" top="0.75" bottom="0.75" header="0.3" footer="0.3"/>
  <pageSetup orientation="portrait" r:id="rId1"/>
  <ignoredErrors>
    <ignoredError sqref="F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Length</vt:lpstr>
      <vt:lpstr>Weight</vt:lpstr>
      <vt:lpstr>Area</vt:lpstr>
      <vt:lpstr>Volume</vt:lpstr>
      <vt:lpstr>Temperature</vt:lpstr>
      <vt:lpstr>Angle</vt:lpstr>
      <vt:lpstr>Torque</vt:lpstr>
      <vt:lpstr>Force</vt:lpstr>
      <vt:lpstr>Pressure</vt:lpstr>
      <vt:lpstr>Speed</vt:lpstr>
      <vt:lpstr>Fuel Economy</vt:lpstr>
      <vt:lpstr>Fuel Economy with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Miura, Michio (MM)</dc:creator>
  <cp:lastModifiedBy>Stolz, Max</cp:lastModifiedBy>
  <dcterms:created xsi:type="dcterms:W3CDTF">2013-05-03T12:40:28Z</dcterms:created>
  <dcterms:modified xsi:type="dcterms:W3CDTF">2024-07-31T19:03:31Z</dcterms:modified>
</cp:coreProperties>
</file>