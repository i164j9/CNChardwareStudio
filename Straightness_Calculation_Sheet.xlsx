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kino4-my.sharepoint.com/personal/leo_cook_makino_com/Documents/Desktop/PQS Class 4/"/>
    </mc:Choice>
  </mc:AlternateContent>
  <xr:revisionPtr revIDLastSave="218" documentId="11_12D31572F26EC036D52F249E3C007BFEC99D315C" xr6:coauthVersionLast="47" xr6:coauthVersionMax="47" xr10:uidLastSave="{0555A4A1-AEE7-46C8-AD44-C0440BD9805F}"/>
  <bookViews>
    <workbookView xWindow="-110" yWindow="-110" windowWidth="22780" windowHeight="14540" activeTab="1" xr2:uid="{00000000-000D-0000-FFFF-FFFF00000000}"/>
  </bookViews>
  <sheets>
    <sheet name="350mm" sheetId="5" r:id="rId1"/>
    <sheet name="350mm_2" sheetId="6" r:id="rId2"/>
    <sheet name="400mm" sheetId="3" r:id="rId3"/>
    <sheet name="400mm_2" sheetId="8" r:id="rId4"/>
    <sheet name="500mm" sheetId="2" r:id="rId5"/>
    <sheet name="1000mm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  <c r="E7" i="8" s="1"/>
  <c r="D2" i="8"/>
  <c r="D3" i="8" s="1"/>
  <c r="E3" i="8" s="1"/>
  <c r="D7" i="6"/>
  <c r="E7" i="6" s="1"/>
  <c r="D2" i="6"/>
  <c r="E2" i="8" l="1"/>
  <c r="D6" i="8"/>
  <c r="E6" i="8" s="1"/>
  <c r="D5" i="8"/>
  <c r="E5" i="8" s="1"/>
  <c r="D4" i="8"/>
  <c r="E4" i="8" s="1"/>
  <c r="G6" i="8" s="1"/>
  <c r="G7" i="8" s="1"/>
  <c r="D6" i="6"/>
  <c r="E6" i="6" s="1"/>
  <c r="D3" i="6"/>
  <c r="E3" i="6" s="1"/>
  <c r="D5" i="6"/>
  <c r="E5" i="6" s="1"/>
  <c r="E2" i="6"/>
  <c r="D4" i="6"/>
  <c r="E4" i="6" s="1"/>
  <c r="D6" i="5"/>
  <c r="E6" i="5" s="1"/>
  <c r="D2" i="5"/>
  <c r="D5" i="5" l="1"/>
  <c r="E5" i="5" s="1"/>
  <c r="G6" i="6"/>
  <c r="G7" i="6" s="1"/>
  <c r="E2" i="5"/>
  <c r="D4" i="5"/>
  <c r="E4" i="5" s="1"/>
  <c r="D3" i="5"/>
  <c r="E3" i="5" s="1"/>
  <c r="D12" i="4"/>
  <c r="E12" i="4" s="1"/>
  <c r="D2" i="4"/>
  <c r="D6" i="3"/>
  <c r="E6" i="3" s="1"/>
  <c r="D2" i="3"/>
  <c r="D3" i="3" s="1"/>
  <c r="E3" i="3" s="1"/>
  <c r="G5" i="5" l="1"/>
  <c r="G6" i="5" s="1"/>
  <c r="D5" i="4"/>
  <c r="E5" i="4" s="1"/>
  <c r="D8" i="4"/>
  <c r="E8" i="4" s="1"/>
  <c r="D11" i="4"/>
  <c r="E11" i="4" s="1"/>
  <c r="D3" i="4"/>
  <c r="E3" i="4" s="1"/>
  <c r="D9" i="4"/>
  <c r="E9" i="4" s="1"/>
  <c r="D4" i="4"/>
  <c r="E4" i="4" s="1"/>
  <c r="D6" i="4"/>
  <c r="E6" i="4" s="1"/>
  <c r="D10" i="4"/>
  <c r="E10" i="4" s="1"/>
  <c r="D7" i="4"/>
  <c r="E7" i="4" s="1"/>
  <c r="E2" i="4"/>
  <c r="E2" i="3"/>
  <c r="D5" i="3"/>
  <c r="E5" i="3" s="1"/>
  <c r="D4" i="3"/>
  <c r="E4" i="3" s="1"/>
  <c r="D7" i="2"/>
  <c r="E7" i="2" s="1"/>
  <c r="D2" i="2"/>
  <c r="G5" i="4" l="1"/>
  <c r="G5" i="3"/>
  <c r="G6" i="3" s="1"/>
  <c r="E2" i="2"/>
  <c r="D3" i="2"/>
  <c r="E3" i="2" s="1"/>
  <c r="D5" i="2"/>
  <c r="E5" i="2" s="1"/>
  <c r="D4" i="2"/>
  <c r="E4" i="2" s="1"/>
  <c r="D6" i="2"/>
  <c r="E6" i="2" s="1"/>
  <c r="G6" i="2" l="1"/>
</calcChain>
</file>

<file path=xl/sharedStrings.xml><?xml version="1.0" encoding="utf-8"?>
<sst xmlns="http://schemas.openxmlformats.org/spreadsheetml/2006/main" count="46" uniqueCount="10">
  <si>
    <t>Straightness</t>
  </si>
  <si>
    <t>µm/500mm</t>
  </si>
  <si>
    <t>input</t>
  </si>
  <si>
    <t>position
(mm)</t>
  </si>
  <si>
    <t>Value
(µm)</t>
  </si>
  <si>
    <t>Straight end to end
(µm)</t>
  </si>
  <si>
    <t>deviation
(µm)</t>
  </si>
  <si>
    <t>µm/1000mm</t>
  </si>
  <si>
    <t>µm/400mm</t>
  </si>
  <si>
    <t>µm/350mm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</si>
</sst>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7" xfId="0" applyBorder="1"/>
    <xf numFmtId="0" fontId="0" fillId="2" borderId="7" xfId="0" applyFill="1" applyBorder="1" applyProtection="1">
      <protection locked="0"/>
    </xf>
    <xf numFmtId="0" fontId="0" fillId="2" borderId="7" xfId="0" applyFill="1" applyBorder="1"/>
    <xf numFmtId="164" fontId="2" fillId="0" borderId="4" xfId="0" applyNumberFormat="1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164" fontId="2" fillId="0" borderId="11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'350mm'!$C$1</c:f>
              <c:strCache>
                <c:ptCount val="1"/>
                <c:pt idx="0">
                  <c:v>Value
(µm)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'350mm'!$B$2:$B$6</c:f>
              <c:numCache>
                <c:formatCode>General</c:formatCode>
                <c:ptCount val="5"/>
                <c:pt idx="0">
                  <c:v>0</c:v>
                </c:pt>
                <c:pt idx="1">
                  <c:v>88</c:v>
                </c:pt>
                <c:pt idx="2">
                  <c:v>175</c:v>
                </c:pt>
                <c:pt idx="3">
                  <c:v>263</c:v>
                </c:pt>
                <c:pt idx="4">
                  <c:v>350</c:v>
                </c:pt>
              </c:numCache>
            </c:numRef>
          </c:cat>
          <c:val>
            <c:numRef>
              <c:f>'350mm'!$C$2:$C$6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0-4D86-BEBD-C4D0F61B6D85}"/>
            </c:ext>
          </c:extLst>
        </c:ser>
        <c:ser>
          <c:idx val="2"/>
          <c:order val="2"/>
          <c:tx>
            <c:strRef>
              <c:f>'350mm'!$D$1</c:f>
              <c:strCache>
                <c:ptCount val="1"/>
                <c:pt idx="0">
                  <c:v>Straight end to end
(µm)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'350mm'!$B$2:$B$6</c:f>
              <c:numCache>
                <c:formatCode>General</c:formatCode>
                <c:ptCount val="5"/>
                <c:pt idx="0">
                  <c:v>0</c:v>
                </c:pt>
                <c:pt idx="1">
                  <c:v>88</c:v>
                </c:pt>
                <c:pt idx="2">
                  <c:v>175</c:v>
                </c:pt>
                <c:pt idx="3">
                  <c:v>263</c:v>
                </c:pt>
                <c:pt idx="4">
                  <c:v>350</c:v>
                </c:pt>
              </c:numCache>
            </c:numRef>
          </c:cat>
          <c:val>
            <c:numRef>
              <c:f>'350mm'!$D$2:$D$6</c:f>
              <c:numCache>
                <c:formatCode>General</c:formatCode>
                <c:ptCount val="5"/>
                <c:pt idx="0">
                  <c:v>0</c:v>
                </c:pt>
                <c:pt idx="1">
                  <c:v>7.75</c:v>
                </c:pt>
                <c:pt idx="2">
                  <c:v>15.5</c:v>
                </c:pt>
                <c:pt idx="3">
                  <c:v>23.25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0-4D86-BEBD-C4D0F61B6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39200"/>
        <c:axId val="339643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'350mm'!$B$1</c15:sqref>
                        </c15:formulaRef>
                      </c:ext>
                    </c:extLst>
                    <c:strCache>
                      <c:ptCount val="1"/>
                      <c:pt idx="0">
                        <c:v>position
(mm)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'350mm'!$B$2:$B$6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88</c:v>
                      </c:pt>
                      <c:pt idx="2">
                        <c:v>175</c:v>
                      </c:pt>
                      <c:pt idx="3">
                        <c:v>263</c:v>
                      </c:pt>
                      <c:pt idx="4">
                        <c:v>350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'350mm'!$B$2:$B$6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88</c:v>
                      </c:pt>
                      <c:pt idx="2">
                        <c:v>175</c:v>
                      </c:pt>
                      <c:pt idx="3">
                        <c:v>263</c:v>
                      </c:pt>
                      <c:pt idx="4">
                        <c:v>350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890-4D86-BEBD-C4D0F61B6D85}"/>
                  </c:ext>
                </c:extLst>
              </c15:ser>
            </c15:filteredLineSeries>
          </c:ext>
        </c:extLst>
      </c:lineChart>
      <c:catAx>
        <c:axId val="339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3792"/>
        <c:crosses val="autoZero"/>
        <c:auto val="1"/>
        <c:lblAlgn val="ctr"/>
        <c:lblOffset val="100"/>
        <c:noMultiLvlLbl val="0"/>
      </c:catAx>
      <c:valAx>
        <c:axId val="3396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'350mm_2'!$C$1</c:f>
              <c:strCache>
                <c:ptCount val="1"/>
                <c:pt idx="0">
                  <c:v>Value
(µm)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'350mm_2'!$B$2:$B$7</c:f>
              <c:numCache>
                <c:formatCode>General</c:formatCode>
                <c:ptCount val="6"/>
                <c:pt idx="0">
                  <c:v>0</c:v>
                </c:pt>
                <c:pt idx="1">
                  <c:v>70</c:v>
                </c:pt>
                <c:pt idx="2">
                  <c:v>140</c:v>
                </c:pt>
                <c:pt idx="3">
                  <c:v>210</c:v>
                </c:pt>
                <c:pt idx="4">
                  <c:v>280</c:v>
                </c:pt>
                <c:pt idx="5">
                  <c:v>350</c:v>
                </c:pt>
              </c:numCache>
            </c:numRef>
          </c:cat>
          <c:val>
            <c:numRef>
              <c:f>'350mm_2'!$C$2:$C$7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0-4CB5-B801-25EE5121AE2A}"/>
            </c:ext>
          </c:extLst>
        </c:ser>
        <c:ser>
          <c:idx val="2"/>
          <c:order val="2"/>
          <c:tx>
            <c:strRef>
              <c:f>'350mm_2'!$D$1</c:f>
              <c:strCache>
                <c:ptCount val="1"/>
                <c:pt idx="0">
                  <c:v>Straight end to end
(µm)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'350mm_2'!$B$2:$B$7</c:f>
              <c:numCache>
                <c:formatCode>General</c:formatCode>
                <c:ptCount val="6"/>
                <c:pt idx="0">
                  <c:v>0</c:v>
                </c:pt>
                <c:pt idx="1">
                  <c:v>70</c:v>
                </c:pt>
                <c:pt idx="2">
                  <c:v>140</c:v>
                </c:pt>
                <c:pt idx="3">
                  <c:v>210</c:v>
                </c:pt>
                <c:pt idx="4">
                  <c:v>280</c:v>
                </c:pt>
                <c:pt idx="5">
                  <c:v>350</c:v>
                </c:pt>
              </c:numCache>
            </c:numRef>
          </c:cat>
          <c:val>
            <c:numRef>
              <c:f>'350mm_2'!$D$2:$D$7</c:f>
              <c:numCache>
                <c:formatCode>General</c:formatCode>
                <c:ptCount val="6"/>
                <c:pt idx="0">
                  <c:v>0</c:v>
                </c:pt>
                <c:pt idx="1">
                  <c:v>1.2</c:v>
                </c:pt>
                <c:pt idx="2">
                  <c:v>2.4</c:v>
                </c:pt>
                <c:pt idx="3">
                  <c:v>3.5999999999999996</c:v>
                </c:pt>
                <c:pt idx="4">
                  <c:v>4.8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0-4CB5-B801-25EE5121A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39200"/>
        <c:axId val="339643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'350mm_2'!$B$1</c15:sqref>
                        </c15:formulaRef>
                      </c:ext>
                    </c:extLst>
                    <c:strCache>
                      <c:ptCount val="1"/>
                      <c:pt idx="0">
                        <c:v>position
(mm)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'350mm_2'!$B$2:$B$7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70</c:v>
                      </c:pt>
                      <c:pt idx="2">
                        <c:v>140</c:v>
                      </c:pt>
                      <c:pt idx="3">
                        <c:v>210</c:v>
                      </c:pt>
                      <c:pt idx="4">
                        <c:v>280</c:v>
                      </c:pt>
                      <c:pt idx="5">
                        <c:v>350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'350mm_2'!$B$2:$B$7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70</c:v>
                      </c:pt>
                      <c:pt idx="2">
                        <c:v>140</c:v>
                      </c:pt>
                      <c:pt idx="3">
                        <c:v>210</c:v>
                      </c:pt>
                      <c:pt idx="4">
                        <c:v>280</c:v>
                      </c:pt>
                      <c:pt idx="5">
                        <c:v>350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0B0-4CB5-B801-25EE5121AE2A}"/>
                  </c:ext>
                </c:extLst>
              </c15:ser>
            </c15:filteredLineSeries>
          </c:ext>
        </c:extLst>
      </c:lineChart>
      <c:catAx>
        <c:axId val="339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3792"/>
        <c:crosses val="autoZero"/>
        <c:auto val="1"/>
        <c:lblAlgn val="ctr"/>
        <c:lblOffset val="100"/>
        <c:noMultiLvlLbl val="0"/>
      </c:catAx>
      <c:valAx>
        <c:axId val="3396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'400mm'!$C$1</c:f>
              <c:strCache>
                <c:ptCount val="1"/>
                <c:pt idx="0">
                  <c:v>Value
(µm)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'400mm'!$B$2:$B$6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'400mm'!$C$2:$C$6</c:f>
              <c:numCache>
                <c:formatCode>General</c:formatCode>
                <c:ptCount val="5"/>
                <c:pt idx="0">
                  <c:v>-2</c:v>
                </c:pt>
                <c:pt idx="1">
                  <c:v>-3</c:v>
                </c:pt>
                <c:pt idx="2">
                  <c:v>-5</c:v>
                </c:pt>
                <c:pt idx="3">
                  <c:v>-6</c:v>
                </c:pt>
                <c:pt idx="4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B0-4E20-99CF-8E1CA29EE3E0}"/>
            </c:ext>
          </c:extLst>
        </c:ser>
        <c:ser>
          <c:idx val="2"/>
          <c:order val="2"/>
          <c:tx>
            <c:strRef>
              <c:f>'400mm'!$D$1</c:f>
              <c:strCache>
                <c:ptCount val="1"/>
                <c:pt idx="0">
                  <c:v>Straight end to end
(µm)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'400mm'!$B$2:$B$6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'400mm'!$D$2:$D$6</c:f>
              <c:numCache>
                <c:formatCode>General</c:formatCode>
                <c:ptCount val="5"/>
                <c:pt idx="0">
                  <c:v>-2</c:v>
                </c:pt>
                <c:pt idx="1">
                  <c:v>-3.75</c:v>
                </c:pt>
                <c:pt idx="2">
                  <c:v>-5.5</c:v>
                </c:pt>
                <c:pt idx="3">
                  <c:v>-7.25</c:v>
                </c:pt>
                <c:pt idx="4">
                  <c:v>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B0-4E20-99CF-8E1CA29EE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39200"/>
        <c:axId val="339643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'400mm'!$B$1</c15:sqref>
                        </c15:formulaRef>
                      </c:ext>
                    </c:extLst>
                    <c:strCache>
                      <c:ptCount val="1"/>
                      <c:pt idx="0">
                        <c:v>position
(mm)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'400mm'!$B$2:$B$6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'400mm'!$B$2:$B$6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6DB0-4E20-99CF-8E1CA29EE3E0}"/>
                  </c:ext>
                </c:extLst>
              </c15:ser>
            </c15:filteredLineSeries>
          </c:ext>
        </c:extLst>
      </c:lineChart>
      <c:catAx>
        <c:axId val="339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3792"/>
        <c:crosses val="autoZero"/>
        <c:auto val="1"/>
        <c:lblAlgn val="ctr"/>
        <c:lblOffset val="100"/>
        <c:noMultiLvlLbl val="0"/>
      </c:catAx>
      <c:valAx>
        <c:axId val="3396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'400mm_2'!$C$1</c:f>
              <c:strCache>
                <c:ptCount val="1"/>
                <c:pt idx="0">
                  <c:v>Value
(µm)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'400mm_2'!$B$2:$B$7</c:f>
              <c:numCache>
                <c:formatCode>General</c:formatCode>
                <c:ptCount val="6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240</c:v>
                </c:pt>
                <c:pt idx="4">
                  <c:v>320</c:v>
                </c:pt>
                <c:pt idx="5">
                  <c:v>400</c:v>
                </c:pt>
              </c:numCache>
            </c:numRef>
          </c:cat>
          <c:val>
            <c:numRef>
              <c:f>'400mm_2'!$C$2:$C$7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-1</c:v>
                </c:pt>
                <c:pt idx="3">
                  <c:v>-2</c:v>
                </c:pt>
                <c:pt idx="4">
                  <c:v>-4</c:v>
                </c:pt>
                <c:pt idx="5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6-4D86-9554-78061E17D951}"/>
            </c:ext>
          </c:extLst>
        </c:ser>
        <c:ser>
          <c:idx val="2"/>
          <c:order val="2"/>
          <c:tx>
            <c:strRef>
              <c:f>'400mm_2'!$D$1</c:f>
              <c:strCache>
                <c:ptCount val="1"/>
                <c:pt idx="0">
                  <c:v>Straight end to end
(µm)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'400mm_2'!$B$2:$B$7</c:f>
              <c:numCache>
                <c:formatCode>General</c:formatCode>
                <c:ptCount val="6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240</c:v>
                </c:pt>
                <c:pt idx="4">
                  <c:v>320</c:v>
                </c:pt>
                <c:pt idx="5">
                  <c:v>400</c:v>
                </c:pt>
              </c:numCache>
            </c:numRef>
          </c:cat>
          <c:val>
            <c:numRef>
              <c:f>'400mm_2'!$D$2:$D$7</c:f>
              <c:numCache>
                <c:formatCode>General</c:formatCode>
                <c:ptCount val="6"/>
                <c:pt idx="0">
                  <c:v>1</c:v>
                </c:pt>
                <c:pt idx="1">
                  <c:v>-0.19999999999999996</c:v>
                </c:pt>
                <c:pt idx="2">
                  <c:v>-1.4</c:v>
                </c:pt>
                <c:pt idx="3">
                  <c:v>-2.5999999999999996</c:v>
                </c:pt>
                <c:pt idx="4">
                  <c:v>-3.8</c:v>
                </c:pt>
                <c:pt idx="5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6-4D86-9554-78061E17D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39200"/>
        <c:axId val="339643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'400mm_2'!$B$1</c15:sqref>
                        </c15:formulaRef>
                      </c:ext>
                    </c:extLst>
                    <c:strCache>
                      <c:ptCount val="1"/>
                      <c:pt idx="0">
                        <c:v>position
(mm)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'400mm_2'!$B$2:$B$7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80</c:v>
                      </c:pt>
                      <c:pt idx="2">
                        <c:v>160</c:v>
                      </c:pt>
                      <c:pt idx="3">
                        <c:v>240</c:v>
                      </c:pt>
                      <c:pt idx="4">
                        <c:v>320</c:v>
                      </c:pt>
                      <c:pt idx="5">
                        <c:v>400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'400mm_2'!$B$2:$B$7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80</c:v>
                      </c:pt>
                      <c:pt idx="2">
                        <c:v>160</c:v>
                      </c:pt>
                      <c:pt idx="3">
                        <c:v>240</c:v>
                      </c:pt>
                      <c:pt idx="4">
                        <c:v>320</c:v>
                      </c:pt>
                      <c:pt idx="5">
                        <c:v>400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C16-4D86-9554-78061E17D951}"/>
                  </c:ext>
                </c:extLst>
              </c15:ser>
            </c15:filteredLineSeries>
          </c:ext>
        </c:extLst>
      </c:lineChart>
      <c:catAx>
        <c:axId val="339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3792"/>
        <c:crosses val="autoZero"/>
        <c:auto val="1"/>
        <c:lblAlgn val="ctr"/>
        <c:lblOffset val="100"/>
        <c:noMultiLvlLbl val="0"/>
      </c:catAx>
      <c:valAx>
        <c:axId val="3396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'500mm'!$C$1</c:f>
              <c:strCache>
                <c:ptCount val="1"/>
                <c:pt idx="0">
                  <c:v>Value
(µm)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'500mm'!$B$2:$B$7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cat>
          <c:val>
            <c:numRef>
              <c:f>'500mm'!$C$2:$C$7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B5-44EA-93FD-19DDC54723B6}"/>
            </c:ext>
          </c:extLst>
        </c:ser>
        <c:ser>
          <c:idx val="2"/>
          <c:order val="2"/>
          <c:tx>
            <c:strRef>
              <c:f>'500mm'!$D$1</c:f>
              <c:strCache>
                <c:ptCount val="1"/>
                <c:pt idx="0">
                  <c:v>Straight end to end
(µm)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'500mm'!$B$2:$B$7</c:f>
              <c:numCache>
                <c:formatCode>General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</c:numCache>
            </c:numRef>
          </c:cat>
          <c:val>
            <c:numRef>
              <c:f>'500mm'!$D$2:$D$7</c:f>
              <c:numCache>
                <c:formatCode>General</c:formatCode>
                <c:ptCount val="6"/>
                <c:pt idx="0">
                  <c:v>0</c:v>
                </c:pt>
                <c:pt idx="1">
                  <c:v>6.2</c:v>
                </c:pt>
                <c:pt idx="2">
                  <c:v>12.4</c:v>
                </c:pt>
                <c:pt idx="3">
                  <c:v>18.600000000000001</c:v>
                </c:pt>
                <c:pt idx="4">
                  <c:v>24.8</c:v>
                </c:pt>
                <c:pt idx="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B5-44EA-93FD-19DDC5472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39200"/>
        <c:axId val="339643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'500mm'!$B$1</c15:sqref>
                        </c15:formulaRef>
                      </c:ext>
                    </c:extLst>
                    <c:strCache>
                      <c:ptCount val="1"/>
                      <c:pt idx="0">
                        <c:v>position
(mm)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'500mm'!$B$2:$B$7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'500mm'!$B$2:$B$7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FDB5-44EA-93FD-19DDC54723B6}"/>
                  </c:ext>
                </c:extLst>
              </c15:ser>
            </c15:filteredLineSeries>
          </c:ext>
        </c:extLst>
      </c:lineChart>
      <c:catAx>
        <c:axId val="339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3792"/>
        <c:crosses val="autoZero"/>
        <c:auto val="1"/>
        <c:lblAlgn val="ctr"/>
        <c:lblOffset val="100"/>
        <c:noMultiLvlLbl val="0"/>
      </c:catAx>
      <c:valAx>
        <c:axId val="3396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'1000mm'!$C$1</c:f>
              <c:strCache>
                <c:ptCount val="1"/>
                <c:pt idx="0">
                  <c:v>Value
(µm)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'1000mm'!$B$2:$B$12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'1000mm'!$C$2:$C$12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B8-44AC-AB56-2856CF5FE47B}"/>
            </c:ext>
          </c:extLst>
        </c:ser>
        <c:ser>
          <c:idx val="2"/>
          <c:order val="2"/>
          <c:tx>
            <c:strRef>
              <c:f>'1000mm'!$D$1</c:f>
              <c:strCache>
                <c:ptCount val="1"/>
                <c:pt idx="0">
                  <c:v>Straight end to end
(µm)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'1000mm'!$B$2:$B$12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</c:numCache>
            </c:numRef>
          </c:cat>
          <c:val>
            <c:numRef>
              <c:f>'1000mm'!$D$2:$D$12</c:f>
              <c:numCache>
                <c:formatCode>General</c:formatCode>
                <c:ptCount val="1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1.7000000000000002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B8-44AC-AB56-2856CF5FE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639200"/>
        <c:axId val="3396437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'1000mm'!$B$1</c15:sqref>
                        </c15:formulaRef>
                      </c:ext>
                    </c:extLst>
                    <c:strCache>
                      <c:ptCount val="1"/>
                      <c:pt idx="0">
                        <c:v>position
(mm)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'1000mm'!$B$2:$B$12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  <c:pt idx="7">
                        <c:v>700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1000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'1000mm'!$B$2:$B$12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100</c:v>
                      </c:pt>
                      <c:pt idx="2">
                        <c:v>200</c:v>
                      </c:pt>
                      <c:pt idx="3">
                        <c:v>300</c:v>
                      </c:pt>
                      <c:pt idx="4">
                        <c:v>400</c:v>
                      </c:pt>
                      <c:pt idx="5">
                        <c:v>500</c:v>
                      </c:pt>
                      <c:pt idx="6">
                        <c:v>600</c:v>
                      </c:pt>
                      <c:pt idx="7">
                        <c:v>700</c:v>
                      </c:pt>
                      <c:pt idx="8">
                        <c:v>800</c:v>
                      </c:pt>
                      <c:pt idx="9">
                        <c:v>900</c:v>
                      </c:pt>
                      <c:pt idx="10">
                        <c:v>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0B8-44AC-AB56-2856CF5FE47B}"/>
                  </c:ext>
                </c:extLst>
              </c15:ser>
            </c15:filteredLineSeries>
          </c:ext>
        </c:extLst>
      </c:lineChart>
      <c:catAx>
        <c:axId val="33963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43792"/>
        <c:crosses val="autoZero"/>
        <c:auto val="1"/>
        <c:lblAlgn val="ctr"/>
        <c:lblOffset val="100"/>
        <c:noMultiLvlLbl val="0"/>
      </c:catAx>
      <c:valAx>
        <c:axId val="3396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371473</xdr:colOff>
      <xdr:row>9</xdr:row>
      <xdr:rowOff>114300</xdr:rowOff>
    </xdr:from>
    <xdr:to>
      <xdr:col>11</xdr:col>
      <xdr:colOff>457199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647C3-9A75-483F-B9C9-8E500CA46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371473</xdr:colOff>
      <xdr:row>10</xdr:row>
      <xdr:rowOff>114300</xdr:rowOff>
    </xdr:from>
    <xdr:to>
      <xdr:col>11</xdr:col>
      <xdr:colOff>457199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18908-EDF6-4177-B9A7-A581431CB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371473</xdr:colOff>
      <xdr:row>9</xdr:row>
      <xdr:rowOff>114300</xdr:rowOff>
    </xdr:from>
    <xdr:to>
      <xdr:col>11</xdr:col>
      <xdr:colOff>457199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2CC52-356B-4002-BD78-B433EEB29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371473</xdr:colOff>
      <xdr:row>10</xdr:row>
      <xdr:rowOff>114300</xdr:rowOff>
    </xdr:from>
    <xdr:to>
      <xdr:col>11</xdr:col>
      <xdr:colOff>457199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F7894-66B6-43D2-9D7D-D23B5EC38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371473</xdr:colOff>
      <xdr:row>10</xdr:row>
      <xdr:rowOff>114300</xdr:rowOff>
    </xdr:from>
    <xdr:to>
      <xdr:col>11</xdr:col>
      <xdr:colOff>457199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CDA1C-12CD-4C1C-87BB-4F6DE4BDA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19048</xdr:colOff>
      <xdr:row>8</xdr:row>
      <xdr:rowOff>161925</xdr:rowOff>
    </xdr:from>
    <xdr:to>
      <xdr:col>15</xdr:col>
      <xdr:colOff>276224</xdr:colOff>
      <xdr:row>28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E0515-E8D9-4788-8404-1408703FE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"/>
  <sheetViews>
    <sheetView workbookViewId="0">
      <selection activeCell="A17" sqref="A17"/>
    </sheetView>
  </sheetViews>
  <sheetFormatPr defaultRowHeight="14.5"/>
  <cols>
    <col min="2" max="2" width="8.26953125" bestFit="1" customWidth="1"/>
    <col min="4" max="4" width="11.7265625" bestFit="1" customWidth="1"/>
  </cols>
  <sheetData>
    <row r="1" spans="2:9" ht="44.25" customHeight="1">
      <c r="B1" s="5" t="s">
        <v>3</v>
      </c>
      <c r="C1" s="5" t="s">
        <v>4</v>
      </c>
      <c r="D1" s="5" t="s">
        <v>5</v>
      </c>
      <c r="E1" s="5" t="s">
        <v>6</v>
      </c>
    </row>
    <row r="2" spans="2:9">
      <c r="B2" s="1">
        <v>0</v>
      </c>
      <c r="C2" s="2">
        <v>0</v>
      </c>
      <c r="D2" s="1">
        <f>C2</f>
        <v>0</v>
      </c>
      <c r="E2" s="1">
        <f>D2-C2</f>
        <v>0</v>
      </c>
      <c r="G2" s="3" t="s">
        <v>2</v>
      </c>
    </row>
    <row r="3" spans="2:9" ht="15" thickBot="1">
      <c r="B3" s="1">
        <v>88</v>
      </c>
      <c r="C3" s="2">
        <v>10</v>
      </c>
      <c r="D3" s="1">
        <f>$D2+($D6-$D2)/4</f>
        <v>7.75</v>
      </c>
      <c r="E3" s="1">
        <f t="shared" ref="E3:E6" si="0">D3-C3</f>
        <v>-2.25</v>
      </c>
    </row>
    <row r="4" spans="2:9">
      <c r="B4" s="1">
        <v>175</v>
      </c>
      <c r="C4" s="2">
        <v>20</v>
      </c>
      <c r="D4" s="1">
        <f>$D2+($D6-$D2)/4*2</f>
        <v>15.5</v>
      </c>
      <c r="E4" s="1">
        <f t="shared" si="0"/>
        <v>-4.5</v>
      </c>
      <c r="G4" s="8" t="s">
        <v>0</v>
      </c>
      <c r="H4" s="9"/>
      <c r="I4" s="10"/>
    </row>
    <row r="5" spans="2:9" ht="18.5">
      <c r="B5" s="1">
        <v>263</v>
      </c>
      <c r="C5" s="2">
        <v>30</v>
      </c>
      <c r="D5" s="1">
        <f>$D2+($D6-$D2)/4*3</f>
        <v>23.25</v>
      </c>
      <c r="E5" s="1">
        <f t="shared" si="0"/>
        <v>-6.75</v>
      </c>
      <c r="G5" s="6">
        <f>MAX(E2:E6)-MIN(E2:E6)</f>
        <v>6.75</v>
      </c>
      <c r="H5" s="11" t="s">
        <v>9</v>
      </c>
      <c r="I5" s="12"/>
    </row>
    <row r="6" spans="2:9" ht="19" thickBot="1">
      <c r="B6" s="1">
        <v>350</v>
      </c>
      <c r="C6" s="2">
        <v>31</v>
      </c>
      <c r="D6" s="1">
        <f>C6</f>
        <v>31</v>
      </c>
      <c r="E6" s="1">
        <f t="shared" si="0"/>
        <v>0</v>
      </c>
      <c r="G6" s="7">
        <f>G5/350*500</f>
        <v>9.6428571428571423</v>
      </c>
      <c r="H6" s="13" t="s">
        <v>1</v>
      </c>
      <c r="I6" s="14"/>
    </row>
  </sheetData>
  <sheetProtection sheet="1" objects="1" scenarios="1"/>
  <mergeCells count="3">
    <mergeCell ref="G4:I4"/>
    <mergeCell ref="H5:I5"/>
    <mergeCell ref="H6:I6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7"/>
  <sheetViews>
    <sheetView tabSelected="1" workbookViewId="0">
      <selection activeCell="C8" sqref="C8"/>
    </sheetView>
  </sheetViews>
  <sheetFormatPr defaultRowHeight="14.5"/>
  <cols>
    <col min="2" max="2" width="8.26953125" bestFit="1" customWidth="1"/>
    <col min="4" max="4" width="11.7265625" bestFit="1" customWidth="1"/>
  </cols>
  <sheetData>
    <row r="1" spans="2:9" ht="44.25" customHeight="1">
      <c r="B1" s="5" t="s">
        <v>3</v>
      </c>
      <c r="C1" s="5" t="s">
        <v>4</v>
      </c>
      <c r="D1" s="5" t="s">
        <v>5</v>
      </c>
      <c r="E1" s="5" t="s">
        <v>6</v>
      </c>
    </row>
    <row r="2" spans="2:9">
      <c r="B2" s="1">
        <v>0</v>
      </c>
      <c r="C2" s="2">
        <v>0</v>
      </c>
      <c r="D2" s="1">
        <f>C2</f>
        <v>0</v>
      </c>
      <c r="E2" s="1">
        <f>D2-C2</f>
        <v>0</v>
      </c>
      <c r="G2" s="3" t="s">
        <v>2</v>
      </c>
    </row>
    <row r="3" spans="2:9">
      <c r="B3" s="1">
        <v>70</v>
      </c>
      <c r="C3" s="2">
        <v>1</v>
      </c>
      <c r="D3" s="1">
        <f>$D2+($D7-$D2)/5</f>
        <v>1.2</v>
      </c>
      <c r="E3" s="1">
        <f t="shared" ref="E3:E7" si="0">D3-C3</f>
        <v>0.19999999999999996</v>
      </c>
    </row>
    <row r="4" spans="2:9" ht="15" thickBot="1">
      <c r="B4" s="1">
        <v>140</v>
      </c>
      <c r="C4" s="2">
        <v>2</v>
      </c>
      <c r="D4" s="1">
        <f>$D2+($D7-$D2)/5*2</f>
        <v>2.4</v>
      </c>
      <c r="E4" s="1">
        <f t="shared" si="0"/>
        <v>0.39999999999999991</v>
      </c>
    </row>
    <row r="5" spans="2:9">
      <c r="B5" s="1">
        <v>210</v>
      </c>
      <c r="C5" s="2">
        <v>3</v>
      </c>
      <c r="D5" s="1">
        <f>$D2+($D7-$D2)/5*3</f>
        <v>3.5999999999999996</v>
      </c>
      <c r="E5" s="1">
        <f t="shared" si="0"/>
        <v>0.59999999999999964</v>
      </c>
      <c r="G5" s="15" t="s">
        <v>0</v>
      </c>
      <c r="H5" s="16"/>
      <c r="I5" s="17"/>
    </row>
    <row r="6" spans="2:9" ht="19" thickBot="1">
      <c r="B6" s="1">
        <v>280</v>
      </c>
      <c r="C6" s="2">
        <v>5</v>
      </c>
      <c r="D6" s="1">
        <f>$D2+($D7-$D2)/5*4</f>
        <v>4.8</v>
      </c>
      <c r="E6" s="1">
        <f t="shared" si="0"/>
        <v>-0.20000000000000018</v>
      </c>
      <c r="G6" s="4">
        <f>MAX(E2:E7)-MIN(E2:E7)</f>
        <v>0.79999999999999982</v>
      </c>
      <c r="H6" s="18" t="s">
        <v>9</v>
      </c>
      <c r="I6" s="19"/>
    </row>
    <row r="7" spans="2:9" ht="19" thickBot="1">
      <c r="B7" s="1">
        <v>350</v>
      </c>
      <c r="C7" s="2">
        <v>6</v>
      </c>
      <c r="D7" s="1">
        <f>C7</f>
        <v>6</v>
      </c>
      <c r="E7" s="1">
        <f t="shared" si="0"/>
        <v>0</v>
      </c>
      <c r="G7" s="4">
        <f>G6/350*500</f>
        <v>1.1428571428571426</v>
      </c>
      <c r="H7" s="18" t="s">
        <v>9</v>
      </c>
      <c r="I7" s="19"/>
    </row>
  </sheetData>
  <sheetProtection sheet="1" objects="1" scenarios="1"/>
  <mergeCells count="3">
    <mergeCell ref="G5:I5"/>
    <mergeCell ref="H6:I6"/>
    <mergeCell ref="H7:I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6"/>
  <sheetViews>
    <sheetView workbookViewId="0">
      <selection activeCell="G6" sqref="G6"/>
    </sheetView>
  </sheetViews>
  <sheetFormatPr defaultRowHeight="14.5"/>
  <cols>
    <col min="2" max="2" width="8.26953125" bestFit="1" customWidth="1"/>
    <col min="4" max="4" width="11.7265625" bestFit="1" customWidth="1"/>
  </cols>
  <sheetData>
    <row r="1" spans="2:9" ht="44.25" customHeight="1">
      <c r="B1" s="5" t="s">
        <v>3</v>
      </c>
      <c r="C1" s="5" t="s">
        <v>4</v>
      </c>
      <c r="D1" s="5" t="s">
        <v>5</v>
      </c>
      <c r="E1" s="5" t="s">
        <v>6</v>
      </c>
    </row>
    <row r="2" spans="2:9">
      <c r="B2" s="1">
        <v>0</v>
      </c>
      <c r="C2" s="2">
        <v>-2</v>
      </c>
      <c r="D2" s="1">
        <f>C2</f>
        <v>-2</v>
      </c>
      <c r="E2" s="1">
        <f>D2-C2</f>
        <v>0</v>
      </c>
      <c r="G2" s="3" t="s">
        <v>2</v>
      </c>
    </row>
    <row r="3" spans="2:9" ht="15" thickBot="1">
      <c r="B3" s="1">
        <v>100</v>
      </c>
      <c r="C3" s="2">
        <v>-3</v>
      </c>
      <c r="D3" s="1">
        <f>$D2+($D6-$D2)/4</f>
        <v>-3.75</v>
      </c>
      <c r="E3" s="1">
        <f t="shared" ref="E3:E6" si="0">D3-C3</f>
        <v>-0.75</v>
      </c>
    </row>
    <row r="4" spans="2:9">
      <c r="B4" s="1">
        <v>200</v>
      </c>
      <c r="C4" s="2">
        <v>-5</v>
      </c>
      <c r="D4" s="1">
        <f>$D2+($D6-$D2)/4*2</f>
        <v>-5.5</v>
      </c>
      <c r="E4" s="1">
        <f t="shared" si="0"/>
        <v>-0.5</v>
      </c>
      <c r="G4" s="8" t="s">
        <v>0</v>
      </c>
      <c r="H4" s="9"/>
      <c r="I4" s="10"/>
    </row>
    <row r="5" spans="2:9" ht="18.5">
      <c r="B5" s="1">
        <v>300</v>
      </c>
      <c r="C5" s="2">
        <v>-6</v>
      </c>
      <c r="D5" s="1">
        <f>$D2+($D6-$D2)/4*3</f>
        <v>-7.25</v>
      </c>
      <c r="E5" s="1">
        <f t="shared" si="0"/>
        <v>-1.25</v>
      </c>
      <c r="G5" s="6">
        <f>MAX(E2:E6)-MIN(E2:E6)</f>
        <v>1.25</v>
      </c>
      <c r="H5" s="11" t="s">
        <v>8</v>
      </c>
      <c r="I5" s="12"/>
    </row>
    <row r="6" spans="2:9" ht="19" thickBot="1">
      <c r="B6" s="1">
        <v>400</v>
      </c>
      <c r="C6" s="2">
        <v>-9</v>
      </c>
      <c r="D6" s="1">
        <f>C6</f>
        <v>-9</v>
      </c>
      <c r="E6" s="1">
        <f t="shared" si="0"/>
        <v>0</v>
      </c>
      <c r="G6" s="7">
        <f>G5/4*5</f>
        <v>1.5625</v>
      </c>
      <c r="H6" s="13" t="s">
        <v>1</v>
      </c>
      <c r="I6" s="14"/>
    </row>
  </sheetData>
  <sheetProtection sheet="1" objects="1" scenarios="1"/>
  <mergeCells count="3">
    <mergeCell ref="G4:I4"/>
    <mergeCell ref="H5:I5"/>
    <mergeCell ref="H6:I6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7"/>
  <sheetViews>
    <sheetView workbookViewId="0">
      <selection activeCell="K9" sqref="K9"/>
    </sheetView>
  </sheetViews>
  <sheetFormatPr defaultRowHeight="14.5"/>
  <cols>
    <col min="2" max="2" width="8.26953125" bestFit="1" customWidth="1"/>
    <col min="4" max="4" width="11.7265625" bestFit="1" customWidth="1"/>
  </cols>
  <sheetData>
    <row r="1" spans="2:9" ht="44.25" customHeight="1">
      <c r="B1" s="5" t="s">
        <v>3</v>
      </c>
      <c r="C1" s="5" t="s">
        <v>4</v>
      </c>
      <c r="D1" s="5" t="s">
        <v>5</v>
      </c>
      <c r="E1" s="5" t="s">
        <v>6</v>
      </c>
    </row>
    <row r="2" spans="2:9">
      <c r="B2" s="1">
        <v>0</v>
      </c>
      <c r="C2" s="2">
        <v>1</v>
      </c>
      <c r="D2" s="1">
        <f>C2</f>
        <v>1</v>
      </c>
      <c r="E2" s="1">
        <f>D2-C2</f>
        <v>0</v>
      </c>
      <c r="G2" s="3" t="s">
        <v>2</v>
      </c>
    </row>
    <row r="3" spans="2:9">
      <c r="B3" s="1">
        <v>80</v>
      </c>
      <c r="C3" s="2">
        <v>1</v>
      </c>
      <c r="D3" s="1">
        <f>$D2+($D7-$D2)/5</f>
        <v>-0.19999999999999996</v>
      </c>
      <c r="E3" s="1">
        <f t="shared" ref="E3:E7" si="0">D3-C3</f>
        <v>-1.2</v>
      </c>
    </row>
    <row r="4" spans="2:9" ht="15" thickBot="1">
      <c r="B4" s="1">
        <v>160</v>
      </c>
      <c r="C4" s="2">
        <v>-1</v>
      </c>
      <c r="D4" s="1">
        <f>$D2+($D7-$D2)/5*2</f>
        <v>-1.4</v>
      </c>
      <c r="E4" s="1">
        <f t="shared" si="0"/>
        <v>-0.39999999999999991</v>
      </c>
    </row>
    <row r="5" spans="2:9">
      <c r="B5" s="1">
        <v>240</v>
      </c>
      <c r="C5" s="2">
        <v>-2</v>
      </c>
      <c r="D5" s="1">
        <f>$D2+($D7-$D2)/5*3</f>
        <v>-2.5999999999999996</v>
      </c>
      <c r="E5" s="1">
        <f t="shared" si="0"/>
        <v>-0.59999999999999964</v>
      </c>
      <c r="G5" s="15" t="s">
        <v>0</v>
      </c>
      <c r="H5" s="16"/>
      <c r="I5" s="17"/>
    </row>
    <row r="6" spans="2:9" ht="19" thickBot="1">
      <c r="B6" s="1">
        <v>320</v>
      </c>
      <c r="C6" s="2">
        <v>-4</v>
      </c>
      <c r="D6" s="1">
        <f>$D2+($D7-$D2)/5*4</f>
        <v>-3.8</v>
      </c>
      <c r="E6" s="1">
        <f t="shared" si="0"/>
        <v>0.20000000000000018</v>
      </c>
      <c r="G6" s="4">
        <f>MAX(E2:E7)-MIN(E2:E7)</f>
        <v>1.4000000000000001</v>
      </c>
      <c r="H6" s="18" t="s">
        <v>8</v>
      </c>
      <c r="I6" s="19"/>
    </row>
    <row r="7" spans="2:9" ht="19" thickBot="1">
      <c r="B7" s="1">
        <v>400</v>
      </c>
      <c r="C7" s="2">
        <v>-5</v>
      </c>
      <c r="D7" s="1">
        <f>C7</f>
        <v>-5</v>
      </c>
      <c r="E7" s="1">
        <f t="shared" si="0"/>
        <v>0</v>
      </c>
      <c r="G7" s="4">
        <f>G6/400*500</f>
        <v>1.7500000000000002</v>
      </c>
      <c r="H7" s="18" t="s">
        <v>1</v>
      </c>
      <c r="I7" s="19"/>
    </row>
  </sheetData>
  <sheetProtection sheet="1" objects="1" scenarios="1"/>
  <mergeCells count="3">
    <mergeCell ref="G5:I5"/>
    <mergeCell ref="H6:I6"/>
    <mergeCell ref="H7:I7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7"/>
  <sheetViews>
    <sheetView workbookViewId="0">
      <selection activeCell="B7" sqref="B7"/>
    </sheetView>
  </sheetViews>
  <sheetFormatPr defaultRowHeight="14.5"/>
  <cols>
    <col min="2" max="2" width="8.26953125" bestFit="1" customWidth="1"/>
    <col min="4" max="4" width="11.7265625" bestFit="1" customWidth="1"/>
  </cols>
  <sheetData>
    <row r="1" spans="2:9" ht="44.25" customHeight="1">
      <c r="B1" s="5" t="s">
        <v>3</v>
      </c>
      <c r="C1" s="5" t="s">
        <v>4</v>
      </c>
      <c r="D1" s="5" t="s">
        <v>5</v>
      </c>
      <c r="E1" s="5" t="s">
        <v>6</v>
      </c>
    </row>
    <row r="2" spans="2:9">
      <c r="B2" s="1">
        <v>0</v>
      </c>
      <c r="C2" s="2">
        <v>0</v>
      </c>
      <c r="D2" s="1">
        <f>C2</f>
        <v>0</v>
      </c>
      <c r="E2" s="1">
        <f>D2-C2</f>
        <v>0</v>
      </c>
      <c r="G2" s="3" t="s">
        <v>2</v>
      </c>
    </row>
    <row r="3" spans="2:9">
      <c r="B3" s="1">
        <v>100</v>
      </c>
      <c r="C3" s="2">
        <v>10</v>
      </c>
      <c r="D3" s="1">
        <f>$D2+($D7-$D2)/5</f>
        <v>6.2</v>
      </c>
      <c r="E3" s="1">
        <f t="shared" ref="E3:E7" si="0">D3-C3</f>
        <v>-3.8</v>
      </c>
    </row>
    <row r="4" spans="2:9" ht="15" thickBot="1">
      <c r="B4" s="1">
        <v>200</v>
      </c>
      <c r="C4" s="2">
        <v>20</v>
      </c>
      <c r="D4" s="1">
        <f>$D2+($D7-$D2)/5*2</f>
        <v>12.4</v>
      </c>
      <c r="E4" s="1">
        <f t="shared" si="0"/>
        <v>-7.6</v>
      </c>
    </row>
    <row r="5" spans="2:9">
      <c r="B5" s="1">
        <v>300</v>
      </c>
      <c r="C5" s="2">
        <v>30</v>
      </c>
      <c r="D5" s="1">
        <f>$D2+($D7-$D2)/5*3</f>
        <v>18.600000000000001</v>
      </c>
      <c r="E5" s="1">
        <f t="shared" si="0"/>
        <v>-11.399999999999999</v>
      </c>
      <c r="G5" s="15" t="s">
        <v>0</v>
      </c>
      <c r="H5" s="16"/>
      <c r="I5" s="17"/>
    </row>
    <row r="6" spans="2:9" ht="19" thickBot="1">
      <c r="B6" s="1">
        <v>400</v>
      </c>
      <c r="C6" s="2">
        <v>30</v>
      </c>
      <c r="D6" s="1">
        <f>$D2+($D7-$D2)/5*4</f>
        <v>24.8</v>
      </c>
      <c r="E6" s="1">
        <f t="shared" si="0"/>
        <v>-5.1999999999999993</v>
      </c>
      <c r="G6" s="4">
        <f>MAX(E2:E7)-MIN(E2:E7)</f>
        <v>11.399999999999999</v>
      </c>
      <c r="H6" s="18" t="s">
        <v>1</v>
      </c>
      <c r="I6" s="19"/>
    </row>
    <row r="7" spans="2:9">
      <c r="B7" s="1">
        <v>500</v>
      </c>
      <c r="C7" s="2">
        <v>31</v>
      </c>
      <c r="D7" s="1">
        <f>C7</f>
        <v>31</v>
      </c>
      <c r="E7" s="1">
        <f t="shared" si="0"/>
        <v>0</v>
      </c>
    </row>
  </sheetData>
  <sheetProtection sheet="1" objects="1" scenarios="1"/>
  <mergeCells count="2">
    <mergeCell ref="G5:I5"/>
    <mergeCell ref="H6:I6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2"/>
  <sheetViews>
    <sheetView workbookViewId="0">
      <selection activeCell="C20" sqref="C20"/>
    </sheetView>
  </sheetViews>
  <sheetFormatPr defaultRowHeight="14.5"/>
  <cols>
    <col min="2" max="2" width="8.26953125" bestFit="1" customWidth="1"/>
    <col min="4" max="4" width="11.7265625" bestFit="1" customWidth="1"/>
  </cols>
  <sheetData>
    <row r="1" spans="2:9" ht="44.25" customHeight="1">
      <c r="B1" s="5" t="s">
        <v>3</v>
      </c>
      <c r="C1" s="5" t="s">
        <v>4</v>
      </c>
      <c r="D1" s="5" t="s">
        <v>5</v>
      </c>
      <c r="E1" s="5" t="s">
        <v>6</v>
      </c>
    </row>
    <row r="2" spans="2:9">
      <c r="B2" s="1">
        <v>0</v>
      </c>
      <c r="C2" s="2">
        <v>1</v>
      </c>
      <c r="D2" s="1">
        <f>C2</f>
        <v>1</v>
      </c>
      <c r="E2" s="1">
        <f>D2-C2</f>
        <v>0</v>
      </c>
      <c r="G2" s="3" t="s">
        <v>2</v>
      </c>
    </row>
    <row r="3" spans="2:9" ht="15" thickBot="1">
      <c r="B3" s="1">
        <v>100</v>
      </c>
      <c r="C3" s="2">
        <v>2</v>
      </c>
      <c r="D3" s="1">
        <f>$D2+($D12-$D2)/10</f>
        <v>1.1000000000000001</v>
      </c>
      <c r="E3" s="1">
        <f t="shared" ref="E3:E12" si="0">D3-C3</f>
        <v>-0.89999999999999991</v>
      </c>
    </row>
    <row r="4" spans="2:9">
      <c r="B4" s="1">
        <v>200</v>
      </c>
      <c r="C4" s="2">
        <v>2</v>
      </c>
      <c r="D4" s="1">
        <f>$D2+($D12-$D2)/10*2</f>
        <v>1.2</v>
      </c>
      <c r="E4" s="1">
        <f t="shared" si="0"/>
        <v>-0.8</v>
      </c>
      <c r="G4" s="15" t="s">
        <v>0</v>
      </c>
      <c r="H4" s="16"/>
      <c r="I4" s="17"/>
    </row>
    <row r="5" spans="2:9" ht="19" thickBot="1">
      <c r="B5" s="1">
        <v>300</v>
      </c>
      <c r="C5" s="2">
        <v>3</v>
      </c>
      <c r="D5" s="1">
        <f>$D2+($D12-$D2)/10*3</f>
        <v>1.3</v>
      </c>
      <c r="E5" s="1">
        <f t="shared" si="0"/>
        <v>-1.7</v>
      </c>
      <c r="G5" s="4">
        <f>MAX(E2:E12)-MIN(E2:E12)</f>
        <v>1.7</v>
      </c>
      <c r="H5" s="18" t="s">
        <v>7</v>
      </c>
      <c r="I5" s="19"/>
    </row>
    <row r="6" spans="2:9">
      <c r="B6" s="1">
        <v>400</v>
      </c>
      <c r="C6" s="2">
        <v>2</v>
      </c>
      <c r="D6" s="1">
        <f>$D2+($D12-$D2)/10*4</f>
        <v>1.4</v>
      </c>
      <c r="E6" s="1">
        <f t="shared" si="0"/>
        <v>-0.60000000000000009</v>
      </c>
    </row>
    <row r="7" spans="2:9">
      <c r="B7" s="1">
        <v>500</v>
      </c>
      <c r="C7" s="2">
        <v>3</v>
      </c>
      <c r="D7" s="1">
        <f>$D2+($D12-$D2)/10*5</f>
        <v>1.5</v>
      </c>
      <c r="E7" s="1">
        <f t="shared" si="0"/>
        <v>-1.5</v>
      </c>
    </row>
    <row r="8" spans="2:9">
      <c r="B8" s="1">
        <v>600</v>
      </c>
      <c r="C8" s="2">
        <v>2</v>
      </c>
      <c r="D8" s="1">
        <f>$D2+($D12-$D2)/10*6</f>
        <v>1.6</v>
      </c>
      <c r="E8" s="1">
        <f t="shared" si="0"/>
        <v>-0.39999999999999991</v>
      </c>
    </row>
    <row r="9" spans="2:9">
      <c r="B9" s="1">
        <v>700</v>
      </c>
      <c r="C9" s="2">
        <v>2</v>
      </c>
      <c r="D9" s="1">
        <f>$D2+($D12-$D2)/10*7</f>
        <v>1.7000000000000002</v>
      </c>
      <c r="E9" s="1">
        <f t="shared" si="0"/>
        <v>-0.29999999999999982</v>
      </c>
    </row>
    <row r="10" spans="2:9">
      <c r="B10" s="1">
        <v>800</v>
      </c>
      <c r="C10" s="2">
        <v>2</v>
      </c>
      <c r="D10" s="1">
        <f>$D2+($D12-$D2)/10*8</f>
        <v>1.8</v>
      </c>
      <c r="E10" s="1">
        <f t="shared" si="0"/>
        <v>-0.19999999999999996</v>
      </c>
    </row>
    <row r="11" spans="2:9">
      <c r="B11" s="1">
        <v>900</v>
      </c>
      <c r="C11" s="2">
        <v>2</v>
      </c>
      <c r="D11" s="1">
        <f>$D2+($D12-$D2)/10*9</f>
        <v>1.9</v>
      </c>
      <c r="E11" s="1">
        <f t="shared" si="0"/>
        <v>-0.10000000000000009</v>
      </c>
    </row>
    <row r="12" spans="2:9">
      <c r="B12" s="1">
        <v>1000</v>
      </c>
      <c r="C12" s="2">
        <v>2</v>
      </c>
      <c r="D12" s="1">
        <f>C12</f>
        <v>2</v>
      </c>
      <c r="E12" s="1">
        <f t="shared" si="0"/>
        <v>0</v>
      </c>
    </row>
  </sheetData>
  <sheetProtection sheet="1" objects="1" scenarios="1"/>
  <mergeCells count="2">
    <mergeCell ref="G4:I4"/>
    <mergeCell ref="H5:I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350mm</vt:lpstr>
      <vt:lpstr>350mm_2</vt:lpstr>
      <vt:lpstr>400mm</vt:lpstr>
      <vt:lpstr>400mm_2</vt:lpstr>
      <vt:lpstr>500mm</vt:lpstr>
      <vt:lpstr>1000mm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Miura, Michio (MM)</dc:creator>
  <cp:lastModifiedBy>Cook, Leo</cp:lastModifiedBy>
  <dcterms:created xsi:type="dcterms:W3CDTF">2018-04-19T15:33:43Z</dcterms:created>
  <dcterms:modified xsi:type="dcterms:W3CDTF">2023-01-18T18:31:46Z</dcterms:modified>
</cp:coreProperties>
</file>